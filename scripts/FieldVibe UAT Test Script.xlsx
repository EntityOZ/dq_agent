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64935B5E-EF45-4BD1-A2E6-E2B89362E819}" xr6:coauthVersionLast="36" xr6:coauthVersionMax="36" xr10:uidLastSave="{00000000-0000-0000-0000-000000000000}"/>
  <bookViews>
    <workbookView xWindow="0" yWindow="0" windowWidth="9315" windowHeight="4380" tabRatio="500" activeTab="3" xr2:uid="{00000000-000D-0000-FFFF-FFFF00000000}"/>
  </bookViews>
  <sheets>
    <sheet name="Summary Dashboard" sheetId="1" r:id="rId1"/>
    <sheet name="Auth Flow" sheetId="2" r:id="rId2"/>
    <sheet name="Navigation" sheetId="3" r:id="rId3"/>
    <sheet name="Dashboard" sheetId="4" r:id="rId4"/>
    <sheet name="Customers &amp; KYC" sheetId="5" r:id="rId5"/>
    <sheet name="Sales &amp; Orders" sheetId="6" r:id="rId6"/>
    <sheet name="Van Sales" sheetId="7" r:id="rId7"/>
    <sheet name="Field Operations" sheetId="8" r:id="rId8"/>
    <sheet name="Marketing" sheetId="9" r:id="rId9"/>
    <sheet name="Inventory" sheetId="10" r:id="rId10"/>
    <sheet name="Finance" sheetId="11" r:id="rId11"/>
    <sheet name="Admin" sheetId="12" r:id="rId12"/>
    <sheet name="API Integrity" sheetId="13" r:id="rId13"/>
    <sheet name="Mobile &amp; PWA" sheetId="14" r:id="rId14"/>
    <sheet name="Reports" sheetId="15" r:id="rId15"/>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F18" i="1" l="1"/>
  <c r="B22" i="15"/>
  <c r="B21" i="15"/>
  <c r="B20" i="15"/>
  <c r="B20" i="14"/>
  <c r="B19" i="14"/>
  <c r="B18" i="14"/>
  <c r="B26" i="13"/>
  <c r="B25" i="13"/>
  <c r="B24" i="13"/>
  <c r="B32" i="12"/>
  <c r="B31" i="12"/>
  <c r="B30" i="12"/>
  <c r="B30" i="11"/>
  <c r="B29" i="11"/>
  <c r="B28" i="11"/>
  <c r="B28" i="10"/>
  <c r="B27" i="10"/>
  <c r="B26" i="10"/>
  <c r="B26" i="9"/>
  <c r="B25" i="9"/>
  <c r="B24" i="9"/>
  <c r="B34" i="8"/>
  <c r="B33" i="8"/>
  <c r="B32" i="8"/>
  <c r="B32" i="7"/>
  <c r="B31" i="7"/>
  <c r="B30" i="7"/>
  <c r="B28" i="6"/>
  <c r="B27" i="6"/>
  <c r="B26" i="6"/>
  <c r="B30" i="5"/>
  <c r="B29" i="5"/>
  <c r="B28" i="5"/>
  <c r="B26" i="4"/>
  <c r="B25" i="4"/>
  <c r="B24" i="4"/>
  <c r="B32" i="3"/>
  <c r="B31" i="3"/>
  <c r="B30" i="3"/>
  <c r="B28" i="2"/>
  <c r="B27" i="2"/>
  <c r="B26" i="2"/>
  <c r="G18" i="1"/>
  <c r="E18" i="1"/>
  <c r="D18" i="1"/>
  <c r="C18" i="1"/>
  <c r="B18" i="1"/>
  <c r="H17" i="1"/>
  <c r="H16" i="1"/>
  <c r="H15" i="1"/>
  <c r="H14" i="1"/>
  <c r="H13" i="1"/>
  <c r="H12" i="1"/>
  <c r="H11" i="1"/>
  <c r="H10" i="1"/>
  <c r="H9" i="1"/>
  <c r="H8" i="1"/>
  <c r="H7" i="1"/>
  <c r="H5" i="1"/>
  <c r="H6" i="1" l="1"/>
  <c r="H18" i="1"/>
</calcChain>
</file>

<file path=xl/sharedStrings.xml><?xml version="1.0" encoding="utf-8"?>
<sst xmlns="http://schemas.openxmlformats.org/spreadsheetml/2006/main" count="1892" uniqueCount="1234">
  <si>
    <t>FIELDVIBE UAT TEST SCRIPT</t>
  </si>
  <si>
    <t>Zero-Defect Validation  |  73 Defects  |  31 Remediation Tasks  |  Platform: fieldvibe.vantax.co.za</t>
  </si>
  <si>
    <t>MODULE</t>
  </si>
  <si>
    <t>TOTAL TESTS</t>
  </si>
  <si>
    <t>CRITICAL</t>
  </si>
  <si>
    <t>HIGH</t>
  </si>
  <si>
    <t>MEDIUM</t>
  </si>
  <si>
    <t>PASS</t>
  </si>
  <si>
    <t>FAIL</t>
  </si>
  <si>
    <t>PASS RATE</t>
  </si>
  <si>
    <t>TAB</t>
  </si>
  <si>
    <t>ASSIGNED TESTER</t>
  </si>
  <si>
    <t>1. Auth &amp; Login</t>
  </si>
  <si>
    <t>Auth Flow</t>
  </si>
  <si>
    <t>2. Navigation &amp; Routing</t>
  </si>
  <si>
    <t>Navigation</t>
  </si>
  <si>
    <t>3. Dashboard &amp; Insights</t>
  </si>
  <si>
    <t>Dashboard</t>
  </si>
  <si>
    <t>4. Customers &amp; KYC</t>
  </si>
  <si>
    <t>Customers &amp; KYC</t>
  </si>
  <si>
    <t>5. Sales &amp; Orders</t>
  </si>
  <si>
    <t>Sales &amp; Orders</t>
  </si>
  <si>
    <t>6. Van Sales</t>
  </si>
  <si>
    <t>Van Sales</t>
  </si>
  <si>
    <t>7. Field Operations</t>
  </si>
  <si>
    <t>Field Operations</t>
  </si>
  <si>
    <t>8. Marketing &amp; Campaigns</t>
  </si>
  <si>
    <t>Marketing</t>
  </si>
  <si>
    <t>9. Inventory</t>
  </si>
  <si>
    <t>Inventory</t>
  </si>
  <si>
    <t>10. Finance &amp; Commissions</t>
  </si>
  <si>
    <t>Finance</t>
  </si>
  <si>
    <t>11. Admin &amp; Settings</t>
  </si>
  <si>
    <t>Admin</t>
  </si>
  <si>
    <t>12. API &amp; Data Integrity</t>
  </si>
  <si>
    <t>API Integrity</t>
  </si>
  <si>
    <t>13. Mobile &amp; PWA</t>
  </si>
  <si>
    <t>Mobile &amp; PWA</t>
  </si>
  <si>
    <t>TOTAL</t>
  </si>
  <si>
    <t>STATUS KEY</t>
  </si>
  <si>
    <t>Test passed — functionality works as expected</t>
  </si>
  <si>
    <t>Test failed — defect confirmed, needs fix</t>
  </si>
  <si>
    <t>BLOCKED</t>
  </si>
  <si>
    <t>Cannot test — dependency not yet deployed</t>
  </si>
  <si>
    <t>N/A</t>
  </si>
  <si>
    <t>Not applicable for this environment</t>
  </si>
  <si>
    <t>SEVERITY KEY</t>
  </si>
  <si>
    <t>Core flow broken — users cannot complete this workflow</t>
  </si>
  <si>
    <t>Major defect — data integrity or significant UX issue</t>
  </si>
  <si>
    <t>Quality issue — tech debt, polish, performance</t>
  </si>
  <si>
    <t>UAT: AUTHENTICATION &amp; LOGIN</t>
  </si>
  <si>
    <t>FieldVibe Platform  |  Test Date: ________  |  Tester: ________  |  Environment: fieldvibe.vantax.co.za</t>
  </si>
  <si>
    <t>TC #</t>
  </si>
  <si>
    <t>Severity</t>
  </si>
  <si>
    <t>Test Case</t>
  </si>
  <si>
    <t>Steps to Execute</t>
  </si>
  <si>
    <t>Expected Outcome</t>
  </si>
  <si>
    <t>Status</t>
  </si>
  <si>
    <t>Defect Ref</t>
  </si>
  <si>
    <t>Actual Result / Notes</t>
  </si>
  <si>
    <t>Date Tested</t>
  </si>
  <si>
    <t>AUTH-01</t>
  </si>
  <si>
    <t>Registration — new user</t>
  </si>
  <si>
    <t>Go to /auth/login &gt; Click Register &gt; Fill email, password, name &gt; Submit</t>
  </si>
  <si>
    <t>Account created. Tenant auto-created. Redirected to /dashboard. JWT token stored in localStorage.</t>
  </si>
  <si>
    <t>D-065</t>
  </si>
  <si>
    <t>AUTH-02</t>
  </si>
  <si>
    <t>Login with email/password</t>
  </si>
  <si>
    <t>Go to /auth/login &gt; Enter valid credentials &gt; Submit</t>
  </si>
  <si>
    <t>Login succeeds. access_token and refresh_token returned. User object includes id, email, role, tenantId. Redirected to /dashboard.</t>
  </si>
  <si>
    <t>AUTH-03</t>
  </si>
  <si>
    <t>Login with wrong password</t>
  </si>
  <si>
    <t>Enter valid email, wrong password &gt; Submit</t>
  </si>
  <si>
    <t>Error message "Invalid credentials". No token stored. Stays on login page.</t>
  </si>
  <si>
    <t>AUTH-04</t>
  </si>
  <si>
    <t>API base URL in production</t>
  </si>
  <si>
    <t>Inspect network tab in production deployment (fieldvibe.vantax.co.za)</t>
  </si>
  <si>
    <t>All API calls go to https://fieldvibe-api.vantax.co.za/api/*. No calls to localhost or wrong domain.</t>
  </si>
  <si>
    <t>AUTH-05</t>
  </si>
  <si>
    <t>Token refresh on expiry</t>
  </si>
  <si>
    <t>Login &gt; Wait for access token to expire (or manually clear it) &gt; Perform any action</t>
  </si>
  <si>
    <t>System automatically refreshes token via POST /api/auth/refresh. User stays logged in. No redirect to login.</t>
  </si>
  <si>
    <t>D-008</t>
  </si>
  <si>
    <t>AUTH-06</t>
  </si>
  <si>
    <t>Logout</t>
  </si>
  <si>
    <t>Click user avatar &gt; Logout</t>
  </si>
  <si>
    <t>Token cleared. Redirect to /auth/login. Subsequent API calls return 401.</t>
  </si>
  <si>
    <t>D-009</t>
  </si>
  <si>
    <t>AUTH-07</t>
  </si>
  <si>
    <t>Change password</t>
  </si>
  <si>
    <t>Go to Settings/Profile &gt; Change Password &gt; Enter current + new password &gt; Save</t>
  </si>
  <si>
    <t>Password changed. Can login with new password. Old password rejected.</t>
  </si>
  <si>
    <t>AUTH-08</t>
  </si>
  <si>
    <t>Forgot password flow</t>
  </si>
  <si>
    <t>Click "Forgot Password" on login &gt; Enter email &gt; Submit</t>
  </si>
  <si>
    <t>Success message shown. Reset email queued (check email_queue table). Reset link contains valid token.</t>
  </si>
  <si>
    <t>AUTH-09</t>
  </si>
  <si>
    <t>Reset password via token</t>
  </si>
  <si>
    <t>Follow reset link from email &gt; Enter new password &gt; Submit</t>
  </si>
  <si>
    <t>Password reset. Can login with new password. Token marked as used.</t>
  </si>
  <si>
    <t>AUTH-10</t>
  </si>
  <si>
    <t>Protected route redirect</t>
  </si>
  <si>
    <t>Clear all tokens &gt; Navigate to /dashboard directly</t>
  </si>
  <si>
    <t>Redirect to /auth/login. No flash of dashboard content.</t>
  </si>
  <si>
    <t>AUTH-11</t>
  </si>
  <si>
    <t>Auth state persistence</t>
  </si>
  <si>
    <t>Login &gt; Close browser tab &gt; Reopen same URL</t>
  </si>
  <si>
    <t>User still authenticated. No login screen. Dashboard loads.</t>
  </si>
  <si>
    <t>AUTH-12</t>
  </si>
  <si>
    <t>Rate limiting on login</t>
  </si>
  <si>
    <t>Attempt 6 logins with wrong password within 15 minutes</t>
  </si>
  <si>
    <t>After 5th attempt: 429 Too Many Requests returned. Retry-After header present.</t>
  </si>
  <si>
    <t>AUTH-13</t>
  </si>
  <si>
    <t>Rate limiting actually works in production</t>
  </si>
  <si>
    <t>From production: attempt 6 failed logins from same IP</t>
  </si>
  <si>
    <t>D-057</t>
  </si>
  <si>
    <t>AUTH-14</t>
  </si>
  <si>
    <t>Token expiry headers</t>
  </si>
  <si>
    <t>Login &gt; Inspect response headers on any API call</t>
  </si>
  <si>
    <t>Authorization header contains Bearer token. Response includes X-Request-ID.</t>
  </si>
  <si>
    <t>AUTH-15</t>
  </si>
  <si>
    <t>Concurrent refresh prevention</t>
  </si>
  <si>
    <t>Expire access token &gt; Trigger 3 API calls simultaneously</t>
  </si>
  <si>
    <t>Only 1 refresh request made (mutex). All 3 calls succeed with new token.</t>
  </si>
  <si>
    <t>AUTH-16</t>
  </si>
  <si>
    <t>Mobile login page</t>
  </si>
  <si>
    <t>Navigate to /auth/mobile-login on mobile device</t>
  </si>
  <si>
    <t>Mobile-optimized login form renders. Login succeeds.</t>
  </si>
  <si>
    <t>AUTH-17</t>
  </si>
  <si>
    <t>Multi-tenant login isolation</t>
  </si>
  <si>
    <t>Create users with same email in 2 different tenants &gt; Login</t>
  </si>
  <si>
    <t>Correct tenant data returned for each login. No cross-tenant leakage.</t>
  </si>
  <si>
    <t>D-056</t>
  </si>
  <si>
    <t>AUTH-18</t>
  </si>
  <si>
    <t>Security headers present</t>
  </si>
  <si>
    <t>Inspect response headers on any API call</t>
  </si>
  <si>
    <t>X-Content-Type-Options: nosniff, X-Frame-Options: DENY, Strict-Transport-Security present.</t>
  </si>
  <si>
    <t>SUMMARY</t>
  </si>
  <si>
    <t>Total:</t>
  </si>
  <si>
    <t>Pass:</t>
  </si>
  <si>
    <t>Fail:</t>
  </si>
  <si>
    <t>Blocked:</t>
  </si>
  <si>
    <t>UAT: NAVIGATION &amp; ROUTING</t>
  </si>
  <si>
    <t>NAV-01</t>
  </si>
  <si>
    <t>Dashboard sidebar link</t>
  </si>
  <si>
    <t>Click Dashboard in sidebar</t>
  </si>
  <si>
    <t>DashboardPage renders with KPI cards, charts. No errors in console.</t>
  </si>
  <si>
    <t>NAV-02</t>
  </si>
  <si>
    <t>Insights sidebar + all children</t>
  </si>
  <si>
    <t>Click Insights &gt; Click each child: Executive, Sales, Van Sales, Field Ops, Stock, Trade Promos, Commissions, Goals, Anomalies</t>
  </si>
  <si>
    <t>Each child link renders its respective page. No 404s or redirects.</t>
  </si>
  <si>
    <t>D-013</t>
  </si>
  <si>
    <t>NAV-03</t>
  </si>
  <si>
    <t>/insights/trade-promos link</t>
  </si>
  <si>
    <t>Click Insights &gt; Trade Promos in sidebar</t>
  </si>
  <si>
    <t>TradePromoInsights page renders (not redirect to /dashboard). Verify nav config matches App.tsx route.</t>
  </si>
  <si>
    <t>NAV-04</t>
  </si>
  <si>
    <t>Field Operations sidebar + 13 children</t>
  </si>
  <si>
    <t>Click Field Operations &gt; Click each of 13 child links</t>
  </si>
  <si>
    <t>Each child renders: Agent Dashboard, Performance, Daily Targets, Individuals, Companies, Hierarchy, Brand Insights, Company Logins, Visits, Live Map, GPS Tracking, Board Placements, Product Distribution.</t>
  </si>
  <si>
    <t>NAV-05</t>
  </si>
  <si>
    <t>Van Sales sidebar + 8 children</t>
  </si>
  <si>
    <t>Click Van Sales &gt; Click each child: Dashboard, Workflow, Routes, Van Loads, Orders, Returns, Cash Recon, Inventory</t>
  </si>
  <si>
    <t>Each renders its page. Cash Recon shows real data.</t>
  </si>
  <si>
    <t>NAV-06</t>
  </si>
  <si>
    <t>Inventory sidebar + 8 children</t>
  </si>
  <si>
    <t>Click Inventory &gt; Click each: Dashboard, Stock Levels, Movements, Transfers, Adjustments, Stock Counts, Receipts, Warehouses</t>
  </si>
  <si>
    <t>All 8 render. Stock Levels, Movements, Warehouses must NOT redirect to /dashboard.</t>
  </si>
  <si>
    <t>D-014</t>
  </si>
  <si>
    <t>NAV-07</t>
  </si>
  <si>
    <t>/inventory/stock-levels route exists</t>
  </si>
  <si>
    <t>Click Inventory &gt; Stock Levels in sidebar</t>
  </si>
  <si>
    <t>A stock levels page renders (not redirect to dashboard).</t>
  </si>
  <si>
    <t>NAV-08</t>
  </si>
  <si>
    <t>/inventory/movements route exists</t>
  </si>
  <si>
    <t>Click Inventory &gt; Movements</t>
  </si>
  <si>
    <t>Stock movements page renders.</t>
  </si>
  <si>
    <t>NAV-09</t>
  </si>
  <si>
    <t>/inventory/warehouses route exists</t>
  </si>
  <si>
    <t>Click Inventory &gt; Warehouses</t>
  </si>
  <si>
    <t>Warehouse management page renders.</t>
  </si>
  <si>
    <t>NAV-10</t>
  </si>
  <si>
    <t>Sales sidebar + children</t>
  </si>
  <si>
    <t>Click Sales &gt; Dashboard, Orders, Invoices, Payments, Returns, Credit Notes</t>
  </si>
  <si>
    <t>All render. Sales &gt; Dashboard must render SalesDashboard (not redirect).</t>
  </si>
  <si>
    <t>D-015</t>
  </si>
  <si>
    <t>NAV-11</t>
  </si>
  <si>
    <t>/sales/dashboard route exists</t>
  </si>
  <si>
    <t>Click Sales &gt; Dashboard</t>
  </si>
  <si>
    <t>SalesDashboard renders.</t>
  </si>
  <si>
    <t>NAV-12</t>
  </si>
  <si>
    <t>Customers sidebar + children</t>
  </si>
  <si>
    <t>Click Customers &gt; Directory, KYC, Surveys, Credit Management</t>
  </si>
  <si>
    <t>All render. /customers/credit must render a page (not redirect).</t>
  </si>
  <si>
    <t>D-011</t>
  </si>
  <si>
    <t>NAV-13</t>
  </si>
  <si>
    <t>/customers/credit route exists</t>
  </si>
  <si>
    <t>Click Customers &gt; Credit Management</t>
  </si>
  <si>
    <t>A credit management page renders.</t>
  </si>
  <si>
    <t>NAV-14</t>
  </si>
  <si>
    <t>Marketing sidebar + children</t>
  </si>
  <si>
    <t>Click Marketing &gt; Campaigns, Trade Marketing, Promotions, Events, Activations</t>
  </si>
  <si>
    <t>All render. /marketing root should also have a page.</t>
  </si>
  <si>
    <t>D-018</t>
  </si>
  <si>
    <t>NAV-15</t>
  </si>
  <si>
    <t>Finance sidebar + children</t>
  </si>
  <si>
    <t>Click Finance &gt; Dashboard, Invoices, Payments, Cash Reconciliation, Commissions</t>
  </si>
  <si>
    <t>All render. /finance/dashboard must NOT redirect to /dashboard.</t>
  </si>
  <si>
    <t>D-012</t>
  </si>
  <si>
    <t>NAV-16</t>
  </si>
  <si>
    <t>/finance/dashboard route exists</t>
  </si>
  <si>
    <t>Click Finance &gt; Dashboard</t>
  </si>
  <si>
    <t>FinanceDashboard renders.</t>
  </si>
  <si>
    <t>NAV-17</t>
  </si>
  <si>
    <t>Admin sidebar + children (admin role)</t>
  </si>
  <si>
    <t>Login as admin &gt; Click Admin &gt; Users, Roles, Brands, Products, Price Lists, Territories, Surveys, Settings, Audit Log, Import/Export</t>
  </si>
  <si>
    <t>All 10 render. Non-admin users should not see Admin section.</t>
  </si>
  <si>
    <t>NAV-18</t>
  </si>
  <si>
    <t>Mobile bottom tabs — all 5</t>
  </si>
  <si>
    <t>On mobile viewport: tap Home, Field, Sales, Customers, More</t>
  </si>
  <si>
    <t>Each tab navigates to correct page. "More" opens a menu/page (not redirect to dashboard).</t>
  </si>
  <si>
    <t>D-016</t>
  </si>
  <si>
    <t>NAV-19</t>
  </si>
  <si>
    <t>Mobile /more page</t>
  </si>
  <si>
    <t>On mobile: tap "More" tab</t>
  </si>
  <si>
    <t>MoreMenuPage renders with grid of all modules.</t>
  </si>
  <si>
    <t>NAV-20</t>
  </si>
  <si>
    <t>404 page for invalid routes</t>
  </si>
  <si>
    <t>Navigate to /this-does-not-exist</t>
  </si>
  <si>
    <t>A 404 page renders with "Page not found" message and link to dashboard. NOT a silent redirect.</t>
  </si>
  <si>
    <t>D-067</t>
  </si>
  <si>
    <t>NAV-21</t>
  </si>
  <si>
    <t>Header command palette</t>
  </si>
  <si>
    <t>Click search icon in header &gt; Type "Sales"</t>
  </si>
  <si>
    <t>Command palette shows relevant navigation options. Clicking one navigates correctly.</t>
  </si>
  <si>
    <t>NAV-22</t>
  </si>
  <si>
    <t>Breadcrumbs accuracy</t>
  </si>
  <si>
    <t>Navigate to /field-operations/visits/create</t>
  </si>
  <si>
    <t>Breadcrumbs show: Field Operations &gt; Visits &gt; Create. Each segment is clickable.</t>
  </si>
  <si>
    <t>UAT: DASHBOARD &amp; INSIGHTS</t>
  </si>
  <si>
    <t>DASH-01</t>
  </si>
  <si>
    <t>Dashboard loads real data</t>
  </si>
  <si>
    <t>Login &gt; View dashboard</t>
  </si>
  <si>
    <t>KPI cards show real numbers from DB (not zeros unless DB is empty). Charts render with data. No console errors.</t>
  </si>
  <si>
    <t>D-006</t>
  </si>
  <si>
    <t>DASH-02</t>
  </si>
  <si>
    <t>Dashboard date range filter</t>
  </si>
  <si>
    <t>Change date range on dashboard</t>
  </si>
  <si>
    <t>KPIs and charts update to reflect selected period.</t>
  </si>
  <si>
    <t>DASH-03</t>
  </si>
  <si>
    <t>Dashboard refresh button</t>
  </si>
  <si>
    <t>Click refresh icon on dashboard</t>
  </si>
  <si>
    <t>Data reloads. Loading spinner shown during fetch.</t>
  </si>
  <si>
    <t>DASH-04</t>
  </si>
  <si>
    <t>Executive Insights page</t>
  </si>
  <si>
    <t>Navigate to /insights</t>
  </si>
  <si>
    <t>Executive dashboard renders with real aggregated data: revenue, orders, visits, agents.</t>
  </si>
  <si>
    <t>DASH-05</t>
  </si>
  <si>
    <t>Sales Insights — real charts</t>
  </si>
  <si>
    <t>Navigate to /insights/sales</t>
  </si>
  <si>
    <t>Revenue trend line chart, top products bar chart, order status pie chart — all with real data.</t>
  </si>
  <si>
    <t>D-007</t>
  </si>
  <si>
    <t>DASH-06</t>
  </si>
  <si>
    <t>Van Sales Insights</t>
  </si>
  <si>
    <t>Navigate to /insights/van-sales</t>
  </si>
  <si>
    <t>Van performance metrics, route completion rates — real data.</t>
  </si>
  <si>
    <t>DASH-07</t>
  </si>
  <si>
    <t>Field Ops Insights</t>
  </si>
  <si>
    <t>Navigate to /insights/field-ops</t>
  </si>
  <si>
    <t>Visit completion rates, agent productivity — real data.</t>
  </si>
  <si>
    <t>DASH-08</t>
  </si>
  <si>
    <t>Stock Insights</t>
  </si>
  <si>
    <t>Navigate to /insights/stock</t>
  </si>
  <si>
    <t>Inventory levels, low stock alerts — real data.</t>
  </si>
  <si>
    <t>DASH-09</t>
  </si>
  <si>
    <t>Trade Promos Insights</t>
  </si>
  <si>
    <t>Navigate to /insights/trade-promos (or /trade-promotions)</t>
  </si>
  <si>
    <t>Trade promotion ROI, enrollment data — real data.</t>
  </si>
  <si>
    <t>DASH-10</t>
  </si>
  <si>
    <t>Commission Insights</t>
  </si>
  <si>
    <t>Navigate to /insights/commissions</t>
  </si>
  <si>
    <t>Commission totals, agent rankings — real data.</t>
  </si>
  <si>
    <t>DASH-11</t>
  </si>
  <si>
    <t>Goals Insights</t>
  </si>
  <si>
    <t>Navigate to /insights/goals</t>
  </si>
  <si>
    <t>Goal tracking with progress bars — real data.</t>
  </si>
  <si>
    <t>DASH-12</t>
  </si>
  <si>
    <t>Anomaly Insights</t>
  </si>
  <si>
    <t>Navigate to /insights/anomalies</t>
  </si>
  <si>
    <t>Anomaly detection results displayed.</t>
  </si>
  <si>
    <t>DASH-13</t>
  </si>
  <si>
    <t>Analytics page — real chart data</t>
  </si>
  <si>
    <t>Navigate to /analytics</t>
  </si>
  <si>
    <t>Charts render with real trend data (not empty charts with dummy axes).</t>
  </si>
  <si>
    <t>DASH-14</t>
  </si>
  <si>
    <t>Empty state handling</t>
  </si>
  <si>
    <t>Login with new tenant (no data)</t>
  </si>
  <si>
    <t>Dashboard shows "No data yet" empty states — not broken charts or NaN values.</t>
  </si>
  <si>
    <t>DASH-15</t>
  </si>
  <si>
    <t>Export dashboard data</t>
  </si>
  <si>
    <t>Click export on any insight page</t>
  </si>
  <si>
    <t>CSV or PDF downloads with real data.</t>
  </si>
  <si>
    <t>DASH-16</t>
  </si>
  <si>
    <t>Dashboard loading states</t>
  </si>
  <si>
    <t>Slow network: observe dashboard load</t>
  </si>
  <si>
    <t>Loading spinners shown for each card/chart until data arrives.</t>
  </si>
  <si>
    <t>UAT: CUSTOMERS &amp; KYC</t>
  </si>
  <si>
    <t>CUST-01</t>
  </si>
  <si>
    <t>Customer list loads</t>
  </si>
  <si>
    <t>Navigate to /customers</t>
  </si>
  <si>
    <t>Customer list renders with real data from API. Pagination works. Search filters work.</t>
  </si>
  <si>
    <t>CUST-02</t>
  </si>
  <si>
    <t>Create customer</t>
  </si>
  <si>
    <t>Click + New &gt; Fill name, code, type, contact &gt; Save</t>
  </si>
  <si>
    <t>Customer created. Appears in list. Detail page accessible.</t>
  </si>
  <si>
    <t>CUST-03</t>
  </si>
  <si>
    <t>Edit customer</t>
  </si>
  <si>
    <t>Open customer detail &gt; Click Edit &gt; Change name &gt; Save</t>
  </si>
  <si>
    <t>Changes persisted. Detail page shows updated name.</t>
  </si>
  <si>
    <t>CUST-04</t>
  </si>
  <si>
    <t>Customer detail tabs</t>
  </si>
  <si>
    <t>Open customer &gt; Click: Orders, Visits, Payments, Surveys, KYC tabs</t>
  </si>
  <si>
    <t>Each tab loads relevant data for this customer.</t>
  </si>
  <si>
    <t>CUST-05</t>
  </si>
  <si>
    <t>Customer search</t>
  </si>
  <si>
    <t>Type customer name in search box</t>
  </si>
  <si>
    <t>List filters to matching customers. Real-time or on-submit.</t>
  </si>
  <si>
    <t>CUST-06</t>
  </si>
  <si>
    <t>Customer deactivation</t>
  </si>
  <si>
    <t>Click Delete on a customer</t>
  </si>
  <si>
    <t>Customer status set to inactive. No longer appears in active list.</t>
  </si>
  <si>
    <t>CUST-07</t>
  </si>
  <si>
    <t>KYC Dashboard — real data</t>
  </si>
  <si>
    <t>Navigate to /kyc</t>
  </si>
  <si>
    <t>KYC dashboard shows real case counts (pending, approved, rejected) from kyc_cases table — NOT faked from customer status.</t>
  </si>
  <si>
    <t>D-001/D-020</t>
  </si>
  <si>
    <t>CUST-08</t>
  </si>
  <si>
    <t>KYC case creation</t>
  </si>
  <si>
    <t>Navigate to /kyc/create &gt; Fill form &gt; Submit</t>
  </si>
  <si>
    <t>KYC case created in kyc_cases table. Redirected to case detail. Case appears in list.</t>
  </si>
  <si>
    <t>D-001</t>
  </si>
  <si>
    <t>CUST-09</t>
  </si>
  <si>
    <t>KYC case approval</t>
  </si>
  <si>
    <t>Open pending KYC case &gt; Click Approve</t>
  </si>
  <si>
    <t>Status changes to "approved". Dashboard counts update.</t>
  </si>
  <si>
    <t>CUST-10</t>
  </si>
  <si>
    <t>KYC case rejection</t>
  </si>
  <si>
    <t>Open pending KYC case &gt; Click Reject &gt; Enter reason</t>
  </si>
  <si>
    <t>Status changes to "rejected". Reason stored.</t>
  </si>
  <si>
    <t>CUST-11</t>
  </si>
  <si>
    <t>KYC document upload</t>
  </si>
  <si>
    <t>Open KYC case &gt; Upload document (PDF/image)</t>
  </si>
  <si>
    <t>File uploaded to R2. Document appears in case detail.</t>
  </si>
  <si>
    <t>CUST-12</t>
  </si>
  <si>
    <t>KYC stats accuracy</t>
  </si>
  <si>
    <t>Navigate to /kyc &gt; Check stats</t>
  </si>
  <si>
    <t>Stats match actual counts: COUNTIF kyc_cases status = pending/approved/rejected.</t>
  </si>
  <si>
    <t>CUST-13</t>
  </si>
  <si>
    <t>KYC edit case</t>
  </si>
  <si>
    <t>Open KYC case &gt; Click Edit &gt; Modify &gt; Save</t>
  </si>
  <si>
    <t>Changes persisted. Form saves to real API (not setTimeout).</t>
  </si>
  <si>
    <t>D-051</t>
  </si>
  <si>
    <t>CUST-14</t>
  </si>
  <si>
    <t>Customer credit management</t>
  </si>
  <si>
    <t>Navigate to /customers/credit</t>
  </si>
  <si>
    <t>Credit management page renders (not redirect to dashboard).</t>
  </si>
  <si>
    <t>CUST-15</t>
  </si>
  <si>
    <t>KYC Management list</t>
  </si>
  <si>
    <t>Navigate to /kyc/management</t>
  </si>
  <si>
    <t>List of KYC cases with filters. Shows real data.</t>
  </si>
  <si>
    <t>CUST-16</t>
  </si>
  <si>
    <t>Customer dashboard</t>
  </si>
  <si>
    <t>Navigate to /customers/dashboard</t>
  </si>
  <si>
    <t>Customer analytics with real metrics.</t>
  </si>
  <si>
    <t>CUST-17</t>
  </si>
  <si>
    <t>Customer surveys tab</t>
  </si>
  <si>
    <t>Open customer &gt; Surveys tab</t>
  </si>
  <si>
    <t>Shows surveys completed for this customer.</t>
  </si>
  <si>
    <t>CUST-18</t>
  </si>
  <si>
    <t>KYC reports</t>
  </si>
  <si>
    <t>Navigate to /kyc/reports</t>
  </si>
  <si>
    <t>KYC reports page renders with real data.</t>
  </si>
  <si>
    <t>CUST-19</t>
  </si>
  <si>
    <t>KYC form saves to API (not setTimeout)</t>
  </si>
  <si>
    <t>Open browser DevTools Network tab &gt; Create KYC case &gt; Submit</t>
  </si>
  <si>
    <t>Network shows POST to /api/kyc-cases. No setTimeout in call stack.</t>
  </si>
  <si>
    <t>CUST-20</t>
  </si>
  <si>
    <t>Customer empty state</t>
  </si>
  <si>
    <t>New tenant with no customers</t>
  </si>
  <si>
    <t>Empty state with "No customers yet" and Create button.</t>
  </si>
  <si>
    <t>UAT: SALES &amp; ORDERS</t>
  </si>
  <si>
    <t>SALE-01</t>
  </si>
  <si>
    <t>Sales dashboard</t>
  </si>
  <si>
    <t>Navigate to /sales</t>
  </si>
  <si>
    <t>SalesDashboard renders with real revenue, order count, pipeline data.</t>
  </si>
  <si>
    <t>SALE-02</t>
  </si>
  <si>
    <t>Sales orders list</t>
  </si>
  <si>
    <t>Navigate to /sales/orders</t>
  </si>
  <si>
    <t>Order list loads from API with pagination.</t>
  </si>
  <si>
    <t>SALE-03</t>
  </si>
  <si>
    <t>Create sales order</t>
  </si>
  <si>
    <t>Click Create &gt; Select customer &gt; Add line items (products + quantities) &gt; Submit</t>
  </si>
  <si>
    <t>Order created. Total calculated correctly. Appears in list. Detail page works.</t>
  </si>
  <si>
    <t>SALE-04</t>
  </si>
  <si>
    <t>Sales order detail + items tab</t>
  </si>
  <si>
    <t>Open order &gt; View detail &gt; Click Items tab</t>
  </si>
  <si>
    <t>Order header shows customer, dates, total. Items tab shows line items with product names and amounts.</t>
  </si>
  <si>
    <t>SALE-05</t>
  </si>
  <si>
    <t>Edit sales order</t>
  </si>
  <si>
    <t>Open order &gt; Edit &gt; Change quantity &gt; Save</t>
  </si>
  <si>
    <t>Changes persisted. Total recalculated.</t>
  </si>
  <si>
    <t>SALE-06</t>
  </si>
  <si>
    <t>Cancel sales order</t>
  </si>
  <si>
    <t>Open order &gt; Cancel</t>
  </si>
  <si>
    <t>Status changes to "cancelled". Cannot be edited after cancel.</t>
  </si>
  <si>
    <t>SALE-07</t>
  </si>
  <si>
    <t>Sales invoices list</t>
  </si>
  <si>
    <t>Navigate to /sales/invoices</t>
  </si>
  <si>
    <t>Invoice list renders with real data.</t>
  </si>
  <si>
    <t>SALE-08</t>
  </si>
  <si>
    <t>Create invoice</t>
  </si>
  <si>
    <t>Navigate to /sales/invoices/create &gt; Fill form &gt; Submit</t>
  </si>
  <si>
    <t>Invoice created. Appears in list.</t>
  </si>
  <si>
    <t>SALE-09</t>
  </si>
  <si>
    <t>Payments list</t>
  </si>
  <si>
    <t>Navigate to /sales/payments</t>
  </si>
  <si>
    <t>Payment list with real data.</t>
  </si>
  <si>
    <t>SALE-10</t>
  </si>
  <si>
    <t>Create payment</t>
  </si>
  <si>
    <t>Create payment against an order &gt; Submit</t>
  </si>
  <si>
    <t>Payment recorded. Order payment_status updates.</t>
  </si>
  <si>
    <t>SALE-11</t>
  </si>
  <si>
    <t>Quotation workflow</t>
  </si>
  <si>
    <t>Navigate to quotation creation (if implemented)</t>
  </si>
  <si>
    <t>Either: quotation CRUD works end-to-end, OR graceful "Coming soon" message. No 404.</t>
  </si>
  <si>
    <t>D-002</t>
  </si>
  <si>
    <t>SALE-12</t>
  </si>
  <si>
    <t>Sales returns list</t>
  </si>
  <si>
    <t>Navigate to /sales/returns</t>
  </si>
  <si>
    <t>Returns list renders.</t>
  </si>
  <si>
    <t>SALE-13</t>
  </si>
  <si>
    <t>Create return</t>
  </si>
  <si>
    <t>Create return against existing order</t>
  </si>
  <si>
    <t>Return created. Items returned. Stock adjusted.</t>
  </si>
  <si>
    <t>SALE-14</t>
  </si>
  <si>
    <t>Credit notes list</t>
  </si>
  <si>
    <t>Navigate to /sales/credit-notes</t>
  </si>
  <si>
    <t>Credit notes render.</t>
  </si>
  <si>
    <t>SALE-15</t>
  </si>
  <si>
    <t>Sales order Kanban view</t>
  </si>
  <si>
    <t>Navigate to /orders/kanban</t>
  </si>
  <si>
    <t>Kanban board shows orders by status.</t>
  </si>
  <si>
    <t>SALE-16</t>
  </si>
  <si>
    <t>Order status history</t>
  </si>
  <si>
    <t>Open order &gt; Status History</t>
  </si>
  <si>
    <t>Timeline of status changes shown.</t>
  </si>
  <si>
    <t>SALE-17</t>
  </si>
  <si>
    <t>Product pricing resolution</t>
  </si>
  <si>
    <t>Create order with customer who has custom price list</t>
  </si>
  <si>
    <t>Resolved price used (not base price). Price source shown.</t>
  </si>
  <si>
    <t>SALE-18</t>
  </si>
  <si>
    <t>Order delivery tab</t>
  </si>
  <si>
    <t>Open order &gt; Delivery tab</t>
  </si>
  <si>
    <t>Delivery information shown (or "No deliveries" empty state).</t>
  </si>
  <si>
    <t>UAT: VAN SALES</t>
  </si>
  <si>
    <t>VAN-01</t>
  </si>
  <si>
    <t>Van Sales Dashboard — real data</t>
  </si>
  <si>
    <t>Navigate to /van-sales/dashboard</t>
  </si>
  <si>
    <t>Dashboard shows real metrics: loads, sales, returns. Charts with real data. NOT hardcoded.</t>
  </si>
  <si>
    <t>VAN-02</t>
  </si>
  <si>
    <t>Van Sales Workflow</t>
  </si>
  <si>
    <t>Navigate to /van-sales/workflow &gt; Select customer &gt; Add products &gt; Submit order</t>
  </si>
  <si>
    <t>Order created via API. Total calculated. Success notification.</t>
  </si>
  <si>
    <t>VAN-03</t>
  </si>
  <si>
    <t>Van Load create</t>
  </si>
  <si>
    <t>Navigate to /van-sales/van-loads &gt; Create &gt; Select products + quantities &gt; Submit</t>
  </si>
  <si>
    <t>Van load created. Stock deducted from warehouse. Load appears in list.</t>
  </si>
  <si>
    <t>VAN-04</t>
  </si>
  <si>
    <t>Van Load detail</t>
  </si>
  <si>
    <t>Open a van load</t>
  </si>
  <si>
    <t>Load items shown with quantities, products. Status visible.</t>
  </si>
  <si>
    <t>VAN-05</t>
  </si>
  <si>
    <t>Van Load return</t>
  </si>
  <si>
    <t>Open active van load &gt; Process return</t>
  </si>
  <si>
    <t>Unsold items returned. Stock adjusted. Reconciliation data updated.</t>
  </si>
  <si>
    <t>VAN-06</t>
  </si>
  <si>
    <t>Cash Reconciliation — correct endpoint</t>
  </si>
  <si>
    <t>Navigate to /van-sales/cash-reconciliation</t>
  </si>
  <si>
    <t>List loads from /cash-reconciliation/sessions (not 404). Shows real sessions.</t>
  </si>
  <si>
    <t>D-003</t>
  </si>
  <si>
    <t>VAN-07</t>
  </si>
  <si>
    <t>Create Cash Reconciliation session</t>
  </si>
  <si>
    <t>Click Create &gt; Fill details &gt; Submit</t>
  </si>
  <si>
    <t>Session created via real API call. Appears in list.</t>
  </si>
  <si>
    <t>VAN-08</t>
  </si>
  <si>
    <t>Approve Cash Reconciliation</t>
  </si>
  <si>
    <t>Open pending session &gt; Approve</t>
  </si>
  <si>
    <t>Status changes to approved. Persisted to DB.</t>
  </si>
  <si>
    <t>VAN-09</t>
  </si>
  <si>
    <t>Van Sales orders list</t>
  </si>
  <si>
    <t>Navigate to /van-sales/orders</t>
  </si>
  <si>
    <t>Van orders list renders with real data.</t>
  </si>
  <si>
    <t>VAN-10</t>
  </si>
  <si>
    <t>Create van sales order</t>
  </si>
  <si>
    <t>Create order from van sales</t>
  </si>
  <si>
    <t>Order created. Stock on van reduced.</t>
  </si>
  <si>
    <t>VAN-11</t>
  </si>
  <si>
    <t>Van Sales returns</t>
  </si>
  <si>
    <t>Navigate to /van-sales/returns &gt; Create return</t>
  </si>
  <si>
    <t>Return processed. Stock adjusted.</t>
  </si>
  <si>
    <t>VAN-12</t>
  </si>
  <si>
    <t>Van Inventory page — real data</t>
  </si>
  <si>
    <t>Navigate to /van-sales/van-inventory</t>
  </si>
  <si>
    <t>Shows real van stock levels from API (not hardcoded array).</t>
  </si>
  <si>
    <t>D-035</t>
  </si>
  <si>
    <t>VAN-13</t>
  </si>
  <si>
    <t>Route Management — real data</t>
  </si>
  <si>
    <t>Navigate to /van-sales/routes</t>
  </si>
  <si>
    <t>Routes loaded from API (not hardcoded array).</t>
  </si>
  <si>
    <t>D-036</t>
  </si>
  <si>
    <t>VAN-14</t>
  </si>
  <si>
    <t>Van Sales mobile workflow</t>
  </si>
  <si>
    <t>On mobile: complete van sale workflow</t>
  </si>
  <si>
    <t>Mobile workflow page works. Customer selection, product selection, order submission all functional.</t>
  </si>
  <si>
    <t>VAN-15</t>
  </si>
  <si>
    <t>Route details</t>
  </si>
  <si>
    <t>Open a route &gt; View stops</t>
  </si>
  <si>
    <t>Route stops shown with customer details.</t>
  </si>
  <si>
    <t>VAN-16</t>
  </si>
  <si>
    <t>Van performance page</t>
  </si>
  <si>
    <t>Navigate to /van-sales/performance</t>
  </si>
  <si>
    <t>Performance metrics render.</t>
  </si>
  <si>
    <t>VAN-17</t>
  </si>
  <si>
    <t>Route stop detail</t>
  </si>
  <si>
    <t>Navigate to a route stop detail</t>
  </si>
  <si>
    <t>Stop information with customer and delivery data.</t>
  </si>
  <si>
    <t>VAN-18</t>
  </si>
  <si>
    <t>Van load item detail</t>
  </si>
  <si>
    <t>Open van load &gt; Click an item</t>
  </si>
  <si>
    <t>Item detail page renders.</t>
  </si>
  <si>
    <t>VAN-19</t>
  </si>
  <si>
    <t>Cash reconciliation variance</t>
  </si>
  <si>
    <t>View cash recon with variance</t>
  </si>
  <si>
    <t>Variance calculated and displayed.</t>
  </si>
  <si>
    <t>VAN-20</t>
  </si>
  <si>
    <t>Van cash collection page</t>
  </si>
  <si>
    <t>Navigate to van cash collection</t>
  </si>
  <si>
    <t>Cash collection data from API.</t>
  </si>
  <si>
    <t>VAN-21</t>
  </si>
  <si>
    <t>Van load reconciliation</t>
  </si>
  <si>
    <t>Open van load &gt; Reconciliation</t>
  </si>
  <si>
    <t>Physical vs system count comparison.</t>
  </si>
  <si>
    <t>VAN-22</t>
  </si>
  <si>
    <t>Cash session collections/deposits</t>
  </si>
  <si>
    <t>View cash session detail &gt; Collections/Deposits</t>
  </si>
  <si>
    <t>Collection and deposit line items shown.</t>
  </si>
  <si>
    <t>UAT: FIELD OPERATIONS</t>
  </si>
  <si>
    <t>FO-01</t>
  </si>
  <si>
    <t>Field Ops Dashboard — real data</t>
  </si>
  <si>
    <t>Navigate to /field-operations</t>
  </si>
  <si>
    <t>Dashboard with real visit counts, agent stats, completion rates. Charts populated.</t>
  </si>
  <si>
    <t>FO-02</t>
  </si>
  <si>
    <t>Visit Management</t>
  </si>
  <si>
    <t>Navigate to /field-operations/visits</t>
  </si>
  <si>
    <t>Visit list loads from API. Filters work (date, agent, status).</t>
  </si>
  <si>
    <t>FO-03</t>
  </si>
  <si>
    <t>Create Visit</t>
  </si>
  <si>
    <t>Click Create Visit &gt; Select customer, agent &gt; Set date &gt; Submit</t>
  </si>
  <si>
    <t>Visit created via API. Appears in list. Detail page works.</t>
  </si>
  <si>
    <t>FO-04</t>
  </si>
  <si>
    <t>Visit Check-in</t>
  </si>
  <si>
    <t>Open visit &gt; Click Check-in</t>
  </si>
  <si>
    <t>Check-in recorded with timestamp and GPS location.</t>
  </si>
  <si>
    <t>FO-05</t>
  </si>
  <si>
    <t>Visit Check-out</t>
  </si>
  <si>
    <t>Open checked-in visit &gt; Click Check-out &gt; Add outcomes</t>
  </si>
  <si>
    <t>Check-out recorded. Duration calculated. Visit completed.</t>
  </si>
  <si>
    <t>FO-06</t>
  </si>
  <si>
    <t>Photo upload on visit</t>
  </si>
  <si>
    <t>During visit &gt; Upload photo</t>
  </si>
  <si>
    <t>Photo uploaded to R2 via /api/visit-photos/upload. Photo visible in visit detail.</t>
  </si>
  <si>
    <t>FO-07</t>
  </si>
  <si>
    <t>Photo Gallery — real photos</t>
  </si>
  <si>
    <t>Navigate to /field-operations/photos</t>
  </si>
  <si>
    <t>Gallery shows real uploaded photos from R2 (not /placeholder-photo.jpg).</t>
  </si>
  <si>
    <t>D-052</t>
  </si>
  <si>
    <t>FO-08</t>
  </si>
  <si>
    <t>Photo Detail — real data</t>
  </si>
  <si>
    <t>Click a photo in gallery</t>
  </si>
  <si>
    <t>Photo detail shows real image, metadata, timestamp (not hardcoded).</t>
  </si>
  <si>
    <t>FO-09</t>
  </si>
  <si>
    <t>Photo Timeline — real data</t>
  </si>
  <si>
    <t>Navigate to /field-operations/photos/timeline</t>
  </si>
  <si>
    <t>Timeline of photos in chronological order from API.</t>
  </si>
  <si>
    <t>FO-10</t>
  </si>
  <si>
    <t>Agent Dashboard</t>
  </si>
  <si>
    <t>Navigate to /field-operations/agent-dashboard</t>
  </si>
  <si>
    <t>Agent performance overview with real metrics.</t>
  </si>
  <si>
    <t>FO-11</t>
  </si>
  <si>
    <t>Daily Targets</t>
  </si>
  <si>
    <t>Navigate to /field-operations/daily-targets</t>
  </si>
  <si>
    <t>Daily targets from API. Can create/edit targets.</t>
  </si>
  <si>
    <t>FO-12</t>
  </si>
  <si>
    <t>Individual Registration</t>
  </si>
  <si>
    <t>Navigate to /field-operations/individuals &gt; Register new individual</t>
  </si>
  <si>
    <t>Individual created via POST /field-ops/individuals/register.</t>
  </si>
  <si>
    <t>FO-13</t>
  </si>
  <si>
    <t>Company Management</t>
  </si>
  <si>
    <t>Navigate to /field-operations/companies &gt; Create company</t>
  </si>
  <si>
    <t>Company created via POST /field-ops/companies.</t>
  </si>
  <si>
    <t>FO-14</t>
  </si>
  <si>
    <t>Agent Hierarchy</t>
  </si>
  <si>
    <t>Navigate to /field-operations/hierarchy</t>
  </si>
  <si>
    <t>Hierarchy tree renders with real agent relationships.</t>
  </si>
  <si>
    <t>FO-15</t>
  </si>
  <si>
    <t>Performance drill-down</t>
  </si>
  <si>
    <t>Navigate to /field-operations/performance &gt; Click an agent</t>
  </si>
  <si>
    <t>Drill-down page shows detailed agent metrics.</t>
  </si>
  <si>
    <t>FO-16</t>
  </si>
  <si>
    <t>Brand Insights</t>
  </si>
  <si>
    <t>Navigate to /field-operations/brand-insights</t>
  </si>
  <si>
    <t>Brand analytics from API.</t>
  </si>
  <si>
    <t>FO-17</t>
  </si>
  <si>
    <t>Board Placements list</t>
  </si>
  <si>
    <t>Navigate to /field-operations/boards</t>
  </si>
  <si>
    <t>Board placements loaded from API.</t>
  </si>
  <si>
    <t>FO-18</t>
  </si>
  <si>
    <t>Create Board Placement</t>
  </si>
  <si>
    <t>Click Create &gt; Select customer, board &gt; Submit</t>
  </si>
  <si>
    <t>Board placement created via API. Appears in list.</t>
  </si>
  <si>
    <t>FO-19</t>
  </si>
  <si>
    <t>Product Distribution list</t>
  </si>
  <si>
    <t>Navigate to /field-operations/products</t>
  </si>
  <si>
    <t>Product distributions loaded from API.</t>
  </si>
  <si>
    <t>FO-20</t>
  </si>
  <si>
    <t>Visit Workflow navigation (ex field-marketing)</t>
  </si>
  <si>
    <t>Navigate to /field-operations/visit-workflow</t>
  </si>
  <si>
    <t>Visit workflow renders. All navigation within workflow stays in /field-operations/*. No redirects to /field-marketing/*.</t>
  </si>
  <si>
    <t>D-017</t>
  </si>
  <si>
    <t>FO-21</t>
  </si>
  <si>
    <t>GPS Tracking page</t>
  </si>
  <si>
    <t>Navigate to /field-operations/gps-tracking</t>
  </si>
  <si>
    <t>GPS compliance monitoring renders.</t>
  </si>
  <si>
    <t>FO-22</t>
  </si>
  <si>
    <t>Visit configuration</t>
  </si>
  <si>
    <t>Navigate to /field-operations/visit-configuration</t>
  </si>
  <si>
    <t>Visit config page renders.</t>
  </si>
  <si>
    <t>FO-23</t>
  </si>
  <si>
    <t>Company Portal login</t>
  </si>
  <si>
    <t>Navigate to /company-login &gt; Login as company</t>
  </si>
  <si>
    <t>Company portal dashboard loads with company-specific data.</t>
  </si>
  <si>
    <t>FO-24</t>
  </si>
  <si>
    <t>Board compliance checks</t>
  </si>
  <si>
    <t>Open board &gt; Compliance tab</t>
  </si>
  <si>
    <t>Compliance data shown.</t>
  </si>
  <si>
    <t>UAT: MARKETING &amp; CAMPAIGNS</t>
  </si>
  <si>
    <t>MKT-01</t>
  </si>
  <si>
    <t>Campaigns list — real data</t>
  </si>
  <si>
    <t>Navigate to /campaigns</t>
  </si>
  <si>
    <t>Campaign list loaded from API (not hardcoded array). Shows real campaigns or empty state.</t>
  </si>
  <si>
    <t>D-032</t>
  </si>
  <si>
    <t>MKT-02</t>
  </si>
  <si>
    <t>Create campaign</t>
  </si>
  <si>
    <t>Click Create &gt; Fill name, type, dates, budget &gt; Submit</t>
  </si>
  <si>
    <t>Campaign created via POST /campaigns (or /marketing/campaigns). Appears in list.</t>
  </si>
  <si>
    <t>D-004</t>
  </si>
  <si>
    <t>MKT-03</t>
  </si>
  <si>
    <t>Events list — real data</t>
  </si>
  <si>
    <t>Navigate to /events</t>
  </si>
  <si>
    <t>Event list from API (not hardcoded). Events loaded from events table.</t>
  </si>
  <si>
    <t>D-033</t>
  </si>
  <si>
    <t>MKT-04</t>
  </si>
  <si>
    <t>Create event</t>
  </si>
  <si>
    <t>Click Create &gt; Fill event details &gt; Submit</t>
  </si>
  <si>
    <t>Event created via POST /events. Persisted to DB.</t>
  </si>
  <si>
    <t>D-004/D-023</t>
  </si>
  <si>
    <t>MKT-05</t>
  </si>
  <si>
    <t>Campaign detail</t>
  </si>
  <si>
    <t>Open a campaign</t>
  </si>
  <si>
    <t>Campaign detail shows real data.</t>
  </si>
  <si>
    <t>MKT-06</t>
  </si>
  <si>
    <t>Campaign edit</t>
  </si>
  <si>
    <t>Edit campaign &gt; Change budget &gt; Save</t>
  </si>
  <si>
    <t>Changes persisted to DB.</t>
  </si>
  <si>
    <t>MKT-07</t>
  </si>
  <si>
    <t>Activations list</t>
  </si>
  <si>
    <t>Navigate to /marketing/activations</t>
  </si>
  <si>
    <t>Activations loaded from /activations endpoint.</t>
  </si>
  <si>
    <t>MKT-08</t>
  </si>
  <si>
    <t>Create activation</t>
  </si>
  <si>
    <t>Create activation for a campaign</t>
  </si>
  <si>
    <t>Activation created via API.</t>
  </si>
  <si>
    <t>MKT-09</t>
  </si>
  <si>
    <t>Promotions list</t>
  </si>
  <si>
    <t>Navigate to /marketing/promotions</t>
  </si>
  <si>
    <t>Promotions loaded from /promotions endpoint.</t>
  </si>
  <si>
    <t>MKT-10</t>
  </si>
  <si>
    <t>Trade Marketing dashboard</t>
  </si>
  <si>
    <t>Navigate to /trade-marketing</t>
  </si>
  <si>
    <t>Trade marketing page renders with real data.</t>
  </si>
  <si>
    <t>MKT-11</t>
  </si>
  <si>
    <t>Activation workflow</t>
  </si>
  <si>
    <t>Navigate to /trade-marketing/activation &gt; Complete workflow</t>
  </si>
  <si>
    <t>Activation workflow: start &gt; complete tasks &gt; submit &gt; approve. All steps persist.</t>
  </si>
  <si>
    <t>MKT-12</t>
  </si>
  <si>
    <t>Promotions management</t>
  </si>
  <si>
    <t>Navigate to /promotions</t>
  </si>
  <si>
    <t>Promotions dashboard renders.</t>
  </si>
  <si>
    <t>MKT-13</t>
  </si>
  <si>
    <t>Brand activations page — real data</t>
  </si>
  <si>
    <t>Navigate to /brand-activations</t>
  </si>
  <si>
    <t>Data from API (not hardcoded).</t>
  </si>
  <si>
    <t>D-044</t>
  </si>
  <si>
    <t>MKT-14</t>
  </si>
  <si>
    <t>Campaign page NOT showing hardcoded data</t>
  </si>
  <si>
    <t>Open DevTools Network tab &gt; Load /campaigns</t>
  </si>
  <si>
    <t>Network shows GET to API endpoint. Response contains campaigns array. Page does NOT use useState with hardcoded array.</t>
  </si>
  <si>
    <t>MKT-15</t>
  </si>
  <si>
    <t>Merchandising compliance</t>
  </si>
  <si>
    <t>Navigate to /trade-marketing/merchandising</t>
  </si>
  <si>
    <t>Compliance page renders.</t>
  </si>
  <si>
    <t>MKT-16</t>
  </si>
  <si>
    <t>Promoter management</t>
  </si>
  <si>
    <t>Navigate to /trade-marketing/promoters</t>
  </si>
  <si>
    <t>Promoter list renders.</t>
  </si>
  <si>
    <t>UAT: INVENTORY MANAGEMENT</t>
  </si>
  <si>
    <t>INV-01</t>
  </si>
  <si>
    <t>Inventory dashboard</t>
  </si>
  <si>
    <t>Navigate to /inventory</t>
  </si>
  <si>
    <t>Dashboard with real stock levels, low stock alerts, movement charts.</t>
  </si>
  <si>
    <t>INV-02</t>
  </si>
  <si>
    <t>Stock count workflow</t>
  </si>
  <si>
    <t>Navigate to /inventory/stock-count &gt; Start count &gt; Enter quantities &gt; Submit</t>
  </si>
  <si>
    <t>Stock count created. Variances calculated. Can approve.</t>
  </si>
  <si>
    <t>INV-03</t>
  </si>
  <si>
    <t>Create stock adjustment</t>
  </si>
  <si>
    <t>Navigate to /inventory/adjustments/create &gt; Select warehouse, products &gt; Submit</t>
  </si>
  <si>
    <t>Adjustment created. Stock levels updated.</t>
  </si>
  <si>
    <t>INV-04</t>
  </si>
  <si>
    <t>Create stock transfer</t>
  </si>
  <si>
    <t>Navigate to /inventory/transfers/create &gt; Select source/dest warehouse &gt; Submit</t>
  </si>
  <si>
    <t>Transfer created. Stock moved between warehouses.</t>
  </si>
  <si>
    <t>INV-05</t>
  </si>
  <si>
    <t>Stock receipt</t>
  </si>
  <si>
    <t>Navigate to /inventory/receipts/create &gt; Enter received goods &gt; Submit</t>
  </si>
  <si>
    <t>Receipt created. Stock levels increased.</t>
  </si>
  <si>
    <t>INV-06</t>
  </si>
  <si>
    <t>Stock issue</t>
  </si>
  <si>
    <t>Navigate to /inventory/issues/create &gt; Issue stock &gt; Submit</t>
  </si>
  <si>
    <t>Issue created. Stock levels decreased.</t>
  </si>
  <si>
    <t>INV-07</t>
  </si>
  <si>
    <t>Adjustments list</t>
  </si>
  <si>
    <t>Navigate to /inventory/adjustments</t>
  </si>
  <si>
    <t>List of adjustments with real data.</t>
  </si>
  <si>
    <t>INV-08</t>
  </si>
  <si>
    <t>Transfers list</t>
  </si>
  <si>
    <t>Navigate to /inventory/transfers</t>
  </si>
  <si>
    <t>List of transfers.</t>
  </si>
  <si>
    <t>INV-09</t>
  </si>
  <si>
    <t>Receipts list</t>
  </si>
  <si>
    <t>Navigate to /inventory/receipts</t>
  </si>
  <si>
    <t>List of receipts.</t>
  </si>
  <si>
    <t>INV-10</t>
  </si>
  <si>
    <t>Stock counts list</t>
  </si>
  <si>
    <t>Navigate to /inventory/stock-counts</t>
  </si>
  <si>
    <t>List of stock counts.</t>
  </si>
  <si>
    <t>INV-11</t>
  </si>
  <si>
    <t>Inventory management page</t>
  </si>
  <si>
    <t>Navigate to /inventory/management</t>
  </si>
  <si>
    <t>Inventory management renders.</t>
  </si>
  <si>
    <t>INV-12</t>
  </si>
  <si>
    <t>Inventory reports</t>
  </si>
  <si>
    <t>Navigate to /inventory/reports</t>
  </si>
  <si>
    <t>Inventory reports render.</t>
  </si>
  <si>
    <t>INV-13</t>
  </si>
  <si>
    <t>Stock ledger by product</t>
  </si>
  <si>
    <t>Navigate to /inventory/stock-ledger/by-product</t>
  </si>
  <si>
    <t>Ledger data shown.</t>
  </si>
  <si>
    <t>INV-14</t>
  </si>
  <si>
    <t>Stock ledger by warehouse</t>
  </si>
  <si>
    <t>Navigate to /inventory/stock-ledger/by-warehouse</t>
  </si>
  <si>
    <t>INV-15</t>
  </si>
  <si>
    <t>Transfer item tracking</t>
  </si>
  <si>
    <t>Open transfer &gt; Items &gt; Tracking</t>
  </si>
  <si>
    <t>Transfer tracking data shown.</t>
  </si>
  <si>
    <t>INV-16</t>
  </si>
  <si>
    <t>Stock count variance resolution</t>
  </si>
  <si>
    <t>Open stock count with variance &gt; Resolve</t>
  </si>
  <si>
    <t>Variance resolution workflow works.</t>
  </si>
  <si>
    <t>INV-17</t>
  </si>
  <si>
    <t>Low stock scheduled alert</t>
  </si>
  <si>
    <t>Have product with quantity &lt;= min_stock_level &gt; Wait for cron</t>
  </si>
  <si>
    <t>Notification created in notifications table. Correct table queried (stock_levels not inventory_stock).</t>
  </si>
  <si>
    <t>D-025</t>
  </si>
  <si>
    <t>INV-18</t>
  </si>
  <si>
    <t>Inventory empty state</t>
  </si>
  <si>
    <t>New tenant with no stock</t>
  </si>
  <si>
    <t>"No inventory data" empty state shown.</t>
  </si>
  <si>
    <t>UAT: FINANCE &amp; COMMISSIONS</t>
  </si>
  <si>
    <t>FIN-01</t>
  </si>
  <si>
    <t>Finance dashboard — real data</t>
  </si>
  <si>
    <t>Navigate to /finance</t>
  </si>
  <si>
    <t>Dashboard shows real totals: revenue, outstanding, overdue. NOT hardcoded.</t>
  </si>
  <si>
    <t>D-005</t>
  </si>
  <si>
    <t>FIN-02</t>
  </si>
  <si>
    <t>Invoice Management — real data</t>
  </si>
  <si>
    <t>Navigate to /finance/invoices</t>
  </si>
  <si>
    <t>Invoice list from API (not hardcoded array [{id:"1",...}]).</t>
  </si>
  <si>
    <t>D-030</t>
  </si>
  <si>
    <t>FIN-03</t>
  </si>
  <si>
    <t>Invoice Management NOT hardcoded</t>
  </si>
  <si>
    <t>Open DevTools &gt; Network tab &gt; Load /finance/invoices</t>
  </si>
  <si>
    <t>API call visible. Response has real data. No hardcoded useState array in source.</t>
  </si>
  <si>
    <t>FIN-04</t>
  </si>
  <si>
    <t>Payment Collection — real data</t>
  </si>
  <si>
    <t>Navigate to /finance/payments</t>
  </si>
  <si>
    <t>Payment list from API (not hardcoded array).</t>
  </si>
  <si>
    <t>D-031</t>
  </si>
  <si>
    <t>FIN-05</t>
  </si>
  <si>
    <t>Create finance invoice</t>
  </si>
  <si>
    <t>Navigate to /finance/invoices/create &gt; Fill form &gt; Submit</t>
  </si>
  <si>
    <t>Invoice created via API (not setTimeout). Persisted to DB.</t>
  </si>
  <si>
    <t>FIN-06</t>
  </si>
  <si>
    <t>Edit finance invoice</t>
  </si>
  <si>
    <t>Open invoice &gt; Edit &gt; Save</t>
  </si>
  <si>
    <t>Changes persisted via API (not setTimeout).</t>
  </si>
  <si>
    <t>FIN-07</t>
  </si>
  <si>
    <t>Navigate to /finance/payments/create &gt; Fill &gt; Submit</t>
  </si>
  <si>
    <t>Payment created via API.</t>
  </si>
  <si>
    <t>FIN-08</t>
  </si>
  <si>
    <t>Finance cash reconciliation</t>
  </si>
  <si>
    <t>Navigate to /finance/cash-reconciliation</t>
  </si>
  <si>
    <t>Cash recon loads from correct endpoint.</t>
  </si>
  <si>
    <t>FIN-09</t>
  </si>
  <si>
    <t>Commission dashboard</t>
  </si>
  <si>
    <t>Navigate to /commissions</t>
  </si>
  <si>
    <t>Real commission data.</t>
  </si>
  <si>
    <t>FIN-10</t>
  </si>
  <si>
    <t>Create commission rule</t>
  </si>
  <si>
    <t>Navigate to /commissions/rules/create &gt; Fill &gt; Submit</t>
  </si>
  <si>
    <t>Rule created via API (not setTimeout).</t>
  </si>
  <si>
    <t>FIN-11</t>
  </si>
  <si>
    <t>Commission calculation</t>
  </si>
  <si>
    <t>Navigate to /commissions/calculation &gt; Run calculation</t>
  </si>
  <si>
    <t>Calculation executes. Results shown.</t>
  </si>
  <si>
    <t>FIN-12</t>
  </si>
  <si>
    <t>Commission approval</t>
  </si>
  <si>
    <t>Navigate to /commissions/approval &gt; Approve commissions</t>
  </si>
  <si>
    <t>Commissions approved. Status updates.</t>
  </si>
  <si>
    <t>FIN-13</t>
  </si>
  <si>
    <t>Commission reports</t>
  </si>
  <si>
    <t>Navigate to /commissions/reports</t>
  </si>
  <si>
    <t>Reports render.</t>
  </si>
  <si>
    <t>FIN-14</t>
  </si>
  <si>
    <t>Commission settings</t>
  </si>
  <si>
    <t>Navigate to /commissions/settings</t>
  </si>
  <si>
    <t>Settings page renders.</t>
  </si>
  <si>
    <t>FIN-15</t>
  </si>
  <si>
    <t>Commission payout detail</t>
  </si>
  <si>
    <t>Navigate to a payout detail</t>
  </si>
  <si>
    <t>Payout information shown.</t>
  </si>
  <si>
    <t>FIN-16</t>
  </si>
  <si>
    <t>Invoice status history</t>
  </si>
  <si>
    <t>Open invoice &gt; Status history</t>
  </si>
  <si>
    <t>Timeline of status changes.</t>
  </si>
  <si>
    <t>FIN-17</t>
  </si>
  <si>
    <t>Payment allocations</t>
  </si>
  <si>
    <t>Open payment &gt; Allocations</t>
  </si>
  <si>
    <t>Payment allocation to invoices.</t>
  </si>
  <si>
    <t>FIN-18</t>
  </si>
  <si>
    <t>Finance forms save to API verification</t>
  </si>
  <si>
    <t>DevTools Network tab open &gt; Create invoice &gt; Submit</t>
  </si>
  <si>
    <t>POST request visible to API. 201 response. No setTimeout in call stack.</t>
  </si>
  <si>
    <t>FIN-19</t>
  </si>
  <si>
    <t>Commission payout audit trail</t>
  </si>
  <si>
    <t>Open payout &gt; Audit trail</t>
  </si>
  <si>
    <t>Audit entries shown.</t>
  </si>
  <si>
    <t>FIN-20</t>
  </si>
  <si>
    <t>Invoice items management</t>
  </si>
  <si>
    <t>Open invoice &gt; Items list</t>
  </si>
  <si>
    <t>Line items shown with totals.</t>
  </si>
  <si>
    <t>UAT: ADMIN &amp; SETTINGS</t>
  </si>
  <si>
    <t>ADM-01</t>
  </si>
  <si>
    <t>Admin page access (admin role only)</t>
  </si>
  <si>
    <t>Login as admin &gt; Navigate to /admin</t>
  </si>
  <si>
    <t>Admin page renders. Login as agent &gt; Navigate to /admin &gt; Access denied.</t>
  </si>
  <si>
    <t>ADM-02</t>
  </si>
  <si>
    <t>User management</t>
  </si>
  <si>
    <t>Navigate to /admin/users</t>
  </si>
  <si>
    <t>User list from API. Can create, edit, deactivate users.</t>
  </si>
  <si>
    <t>ADM-03</t>
  </si>
  <si>
    <t>Role permissions — real data</t>
  </si>
  <si>
    <t>Navigate to /admin/roles</t>
  </si>
  <si>
    <t>Roles loaded from API (not hardcoded array). Can create/edit roles with permissions.</t>
  </si>
  <si>
    <t>D-028</t>
  </si>
  <si>
    <t>ADM-04</t>
  </si>
  <si>
    <t>Role permissions NOT hardcoded</t>
  </si>
  <si>
    <t>Open DevTools &gt; Network &gt; Load /admin/roles</t>
  </si>
  <si>
    <t>API call to /api/rbac/roles visible. Response has real roles. No hardcoded useState.</t>
  </si>
  <si>
    <t>ADM-05</t>
  </si>
  <si>
    <t>Data Import/Export — real API</t>
  </si>
  <si>
    <t>Navigate to /admin/data-import-export &gt; Export customers</t>
  </si>
  <si>
    <t>Export triggers POST /api/export. CSV file downloads with real data.</t>
  </si>
  <si>
    <t>D-029</t>
  </si>
  <si>
    <t>ADM-06</t>
  </si>
  <si>
    <t>Data Import — real upload</t>
  </si>
  <si>
    <t>Upload CSV file &gt; Map columns &gt; Import</t>
  </si>
  <si>
    <t>File uploaded. Import job created. Data appears in target table.</t>
  </si>
  <si>
    <t>ADM-07</t>
  </si>
  <si>
    <t>Price List management — real data</t>
  </si>
  <si>
    <t>Navigate to /admin/price-lists</t>
  </si>
  <si>
    <t>Price lists loaded from /api/price-lists.</t>
  </si>
  <si>
    <t>D-053</t>
  </si>
  <si>
    <t>ADM-08</t>
  </si>
  <si>
    <t>Price List edit saves</t>
  </si>
  <si>
    <t>Open price list &gt; Edit items &gt; Save</t>
  </si>
  <si>
    <t>Changes persisted via PUT /api/price-lists/:id.</t>
  </si>
  <si>
    <t>ADM-09</t>
  </si>
  <si>
    <t>Territory management — real data</t>
  </si>
  <si>
    <t>Navigate to /admin/territories</t>
  </si>
  <si>
    <t>Territories loaded from /api/territories.</t>
  </si>
  <si>
    <t>D-042</t>
  </si>
  <si>
    <t>ADM-10</t>
  </si>
  <si>
    <t>Brand management — real data</t>
  </si>
  <si>
    <t>Navigate to /admin/brands</t>
  </si>
  <si>
    <t>Brands loaded from API.</t>
  </si>
  <si>
    <t>D-038</t>
  </si>
  <si>
    <t>ADM-11</t>
  </si>
  <si>
    <t>Campaign management (admin) — real data</t>
  </si>
  <si>
    <t>Navigate to admin campaign management</t>
  </si>
  <si>
    <t>Data from API.</t>
  </si>
  <si>
    <t>D-039</t>
  </si>
  <si>
    <t>ADM-12</t>
  </si>
  <si>
    <t>Commission rule builder — real data</t>
  </si>
  <si>
    <t>Navigate to admin commission rules</t>
  </si>
  <si>
    <t>Rules loaded from /api/commission-rules.</t>
  </si>
  <si>
    <t>D-040</t>
  </si>
  <si>
    <t>ADM-13</t>
  </si>
  <si>
    <t>Survey builder</t>
  </si>
  <si>
    <t>Navigate to /admin/surveys</t>
  </si>
  <si>
    <t>Survey builder renders.</t>
  </si>
  <si>
    <t>ADM-14</t>
  </si>
  <si>
    <t>System settings</t>
  </si>
  <si>
    <t>Navigate to /admin/settings &gt; Change a setting &gt; Save</t>
  </si>
  <si>
    <t>Setting persisted.</t>
  </si>
  <si>
    <t>ADM-15</t>
  </si>
  <si>
    <t>Audit logs</t>
  </si>
  <si>
    <t>Navigate to /admin/audit</t>
  </si>
  <si>
    <t>Audit log shows real entries from audit_log table.</t>
  </si>
  <si>
    <t>ADM-16</t>
  </si>
  <si>
    <t>POS Library — real data</t>
  </si>
  <si>
    <t>Navigate to admin POS library</t>
  </si>
  <si>
    <t>POSM materials loaded from API.</t>
  </si>
  <si>
    <t>D-041</t>
  </si>
  <si>
    <t>ADM-17</t>
  </si>
  <si>
    <t>Route audit — real data</t>
  </si>
  <si>
    <t>Navigate to admin route audit</t>
  </si>
  <si>
    <t>Audit data from API.</t>
  </si>
  <si>
    <t>D-043</t>
  </si>
  <si>
    <t>ADM-18</t>
  </si>
  <si>
    <t>Board management — real data</t>
  </si>
  <si>
    <t>Navigate to admin board management</t>
  </si>
  <si>
    <t>Board data from API.</t>
  </si>
  <si>
    <t>ADM-19</t>
  </si>
  <si>
    <t>Report templates — real data</t>
  </si>
  <si>
    <t>Navigate to report templates</t>
  </si>
  <si>
    <t>Templates from API.</t>
  </si>
  <si>
    <t>D-045</t>
  </si>
  <si>
    <t>ADM-20</t>
  </si>
  <si>
    <t>Smoke test page</t>
  </si>
  <si>
    <t>Navigate to /admin/smoke-test</t>
  </si>
  <si>
    <t>Smoke test executes and reports status.</t>
  </si>
  <si>
    <t>ADM-21</t>
  </si>
  <si>
    <t>Seed demo data</t>
  </si>
  <si>
    <t>POST /api/seed/demo as admin</t>
  </si>
  <si>
    <t>Demo data seeded. Customers, products, orders created.</t>
  </si>
  <si>
    <t>ADM-22</t>
  </si>
  <si>
    <t>Tenant management (superadmin)</t>
  </si>
  <si>
    <t>Navigate to /superadmin/tenants</t>
  </si>
  <si>
    <t>Tenant list shown for superadmin.</t>
  </si>
  <si>
    <t>UAT: API &amp; DATA INTEGRITY</t>
  </si>
  <si>
    <t>API-01</t>
  </si>
  <si>
    <t>All API responses have {success, data} shape</t>
  </si>
  <si>
    <t>Make 10 different GET requests via browser DevTools</t>
  </si>
  <si>
    <t>Every response body contains {success: true/false, data: ...}. No bare objects.</t>
  </si>
  <si>
    <t>D-046</t>
  </si>
  <si>
    <t>API-02</t>
  </si>
  <si>
    <t>Tenant isolation on customers</t>
  </si>
  <si>
    <t>Login as Tenant A &gt; List customers. Login as Tenant B &gt; List customers.</t>
  </si>
  <si>
    <t>Each tenant only sees their own customers. Zero overlap.</t>
  </si>
  <si>
    <t>D-054</t>
  </si>
  <si>
    <t>API-03</t>
  </si>
  <si>
    <t>Tenant isolation on orders</t>
  </si>
  <si>
    <t>Login as Tenant A &gt; List orders. Login as Tenant B.</t>
  </si>
  <si>
    <t>Each tenant only sees their own orders. Order items also scoped.</t>
  </si>
  <si>
    <t>API-04</t>
  </si>
  <si>
    <t>Tenant isolation on sales_order_items</t>
  </si>
  <si>
    <t>GET /api/sales-orders/:id where id belongs to different tenant</t>
  </si>
  <si>
    <t>404 or empty result. NOT the other tenant's data.</t>
  </si>
  <si>
    <t>API-05</t>
  </si>
  <si>
    <t>CORS configured correctly</t>
  </si>
  <si>
    <t>From browser on fieldvibe.vantax.co.za: make API call</t>
  </si>
  <si>
    <t>CORS headers allow the origin. No CORS errors in console.</t>
  </si>
  <si>
    <t>API-06</t>
  </si>
  <si>
    <t>API error response format</t>
  </si>
  <si>
    <t>Make a request that will fail (invalid data)</t>
  </si>
  <si>
    <t>Response: {success: false, message: "user-friendly error"}. No stack traces exposed.</t>
  </si>
  <si>
    <t>API-07</t>
  </si>
  <si>
    <t>Pagination works</t>
  </si>
  <si>
    <t>GET /api/customers?page=1&amp;limit=10, then page=2</t>
  </si>
  <si>
    <t>Page 1 and 2 have different results. Pagination metadata correct.</t>
  </si>
  <si>
    <t>API-08</t>
  </si>
  <si>
    <t>Validation errors returned correctly</t>
  </si>
  <si>
    <t>POST /api/customers with empty name</t>
  </si>
  <si>
    <t>{success: false, message: "Validation failed", errors: [...]}</t>
  </si>
  <si>
    <t>API-09</t>
  </si>
  <si>
    <t>Duplicate route fix verified</t>
  </si>
  <si>
    <t>GET /api/posm-materials/dashboard, GET /api/insights/share-of-voice</t>
  </si>
  <si>
    <t>Each returns expected data. Not duplicated or conflicting.</t>
  </si>
  <si>
    <t>D-063</t>
  </si>
  <si>
    <t>API-10</t>
  </si>
  <si>
    <t>pricing/customer-prices reachable</t>
  </si>
  <si>
    <t>GET /api/pricing/customer-prices?customer_id=xxx</t>
  </si>
  <si>
    <t>Returns resolved prices. Not 404 (was unreachable after export default).</t>
  </si>
  <si>
    <t>D-064</t>
  </si>
  <si>
    <t>API-11</t>
  </si>
  <si>
    <t>Rate limit headers present</t>
  </si>
  <si>
    <t>Make any API call &gt; Check response headers</t>
  </si>
  <si>
    <t>X-RateLimit-Limit and X-RateLimit-Remaining headers present.</t>
  </si>
  <si>
    <t>API-12</t>
  </si>
  <si>
    <t>X-Request-ID unique per request</t>
  </si>
  <si>
    <t>Make 2 requests &gt; Compare X-Request-ID</t>
  </si>
  <si>
    <t>Different UUIDs on each response.</t>
  </si>
  <si>
    <t>API-13</t>
  </si>
  <si>
    <t>Search functionality</t>
  </si>
  <si>
    <t>GET /api/customers?search=test</t>
  </si>
  <si>
    <t>Results filtered to matching records.</t>
  </si>
  <si>
    <t>API-14</t>
  </si>
  <si>
    <t>Date filtering</t>
  </si>
  <si>
    <t>GET /api/visits?start_date=2025-01-01&amp;end_date=2025-12-31</t>
  </si>
  <si>
    <t>Only visits within date range returned.</t>
  </si>
  <si>
    <t>API-15</t>
  </si>
  <si>
    <t>Scheduled job: checkLowStock correct table</t>
  </si>
  <si>
    <t>Insert product with quantity &lt; min_stock_level &gt; Trigger cron</t>
  </si>
  <si>
    <t>Notification created in notifications table. No errors in error_logs.</t>
  </si>
  <si>
    <t>API-16</t>
  </si>
  <si>
    <t>Health check endpoint</t>
  </si>
  <si>
    <t>GET /health</t>
  </si>
  <si>
    <t>{status: "healthy", timestamp: "..."}</t>
  </si>
  <si>
    <t>UAT: MOBILE &amp; PWA</t>
  </si>
  <si>
    <t>MOB-01</t>
  </si>
  <si>
    <t>Mobile responsive layout</t>
  </si>
  <si>
    <t>Open fieldvibe.vantax.co.za on mobile device</t>
  </si>
  <si>
    <t>Layout adapts. Sidebar hidden. Bottom tabs visible. Content readable.</t>
  </si>
  <si>
    <t>MOB-02</t>
  </si>
  <si>
    <t>Mobile bottom tab navigation</t>
  </si>
  <si>
    <t>Tap each of 5 bottom tabs</t>
  </si>
  <si>
    <t>Each navigates to correct page. Active tab highlighted.</t>
  </si>
  <si>
    <t>MOB-03</t>
  </si>
  <si>
    <t>Mobile sidebar opens/closes</t>
  </si>
  <si>
    <t>Tap hamburger menu &gt; Navigate &gt; Close sidebar</t>
  </si>
  <si>
    <t>Sidebar opens as overlay. Navigation works. Closes on link click.</t>
  </si>
  <si>
    <t>MOB-04</t>
  </si>
  <si>
    <t>Mobile van sales workflow</t>
  </si>
  <si>
    <t>Complete van sale on mobile</t>
  </si>
  <si>
    <t>Mobile workflow page: customer select &gt; product select &gt; submit. All functional.</t>
  </si>
  <si>
    <t>MOB-05</t>
  </si>
  <si>
    <t>Mobile visit workflow</t>
  </si>
  <si>
    <t>Create visit on mobile &gt; Check in &gt; Photo &gt; Check out</t>
  </si>
  <si>
    <t>All steps work on mobile. Camera/photo upload works.</t>
  </si>
  <si>
    <t>MOB-06</t>
  </si>
  <si>
    <t>PWA installable</t>
  </si>
  <si>
    <t>Visit site on mobile Chrome &gt; Check for install prompt</t>
  </si>
  <si>
    <t>PWA install prompt appears. Can add to home screen.</t>
  </si>
  <si>
    <t>MOB-07</t>
  </si>
  <si>
    <t>PWA version stable</t>
  </si>
  <si>
    <t>Install PWA &gt; Check version &gt; Deploy identical build &gt; Check again</t>
  </si>
  <si>
    <t>Version number doesn't change between identical builds (no Date.now()).</t>
  </si>
  <si>
    <t>D-070</t>
  </si>
  <si>
    <t>MOB-08</t>
  </si>
  <si>
    <t>Offline indicator</t>
  </si>
  <si>
    <t>Disable network on mobile</t>
  </si>
  <si>
    <t>Offline indicator appears. Re-enable shows online.</t>
  </si>
  <si>
    <t>MOB-09</t>
  </si>
  <si>
    <t>Touch targets adequate size</t>
  </si>
  <si>
    <t>Tap buttons and links on mobile</t>
  </si>
  <si>
    <t>All interactive elements are minimum 44x44px. No misclicks.</t>
  </si>
  <si>
    <t>MOB-10</t>
  </si>
  <si>
    <t>Mobile form usability</t>
  </si>
  <si>
    <t>Fill out a form on mobile (e.g., create customer)</t>
  </si>
  <si>
    <t>Input fields properly sized. Keyboard doesn't obscure fields. Submit works.</t>
  </si>
  <si>
    <t>UAT: REPORTS &amp; ANALYTICS</t>
  </si>
  <si>
    <t>RPT-01</t>
  </si>
  <si>
    <t>Reports Hub</t>
  </si>
  <si>
    <t>Navigate to /reports</t>
  </si>
  <si>
    <t>Reports hub renders with available report categories.</t>
  </si>
  <si>
    <t>RPT-02</t>
  </si>
  <si>
    <t>Report Builder</t>
  </si>
  <si>
    <t>Navigate to /reports/builder</t>
  </si>
  <si>
    <t>Report builder renders.</t>
  </si>
  <si>
    <t>RPT-03</t>
  </si>
  <si>
    <t>Sales Summary Report</t>
  </si>
  <si>
    <t>Navigate to /reports/sales/summary</t>
  </si>
  <si>
    <t>Report renders with real data.</t>
  </si>
  <si>
    <t>RPT-04</t>
  </si>
  <si>
    <t>Sales Exceptions Report</t>
  </si>
  <si>
    <t>Navigate to /reports/sales/exceptions</t>
  </si>
  <si>
    <t>Report renders.</t>
  </si>
  <si>
    <t>RPT-05</t>
  </si>
  <si>
    <t>Commission Summary Report</t>
  </si>
  <si>
    <t>Navigate to /reports/finance/commission-summary</t>
  </si>
  <si>
    <t>RPT-06</t>
  </si>
  <si>
    <t>Inventory Snapshot Report</t>
  </si>
  <si>
    <t>Navigate to /reports/inventory/snapshot</t>
  </si>
  <si>
    <t>RPT-07</t>
  </si>
  <si>
    <t>Variance Analysis Report</t>
  </si>
  <si>
    <t>Navigate to /reports/inventory/variance</t>
  </si>
  <si>
    <t>RPT-08</t>
  </si>
  <si>
    <t>Field Ops Productivity Report</t>
  </si>
  <si>
    <t>Navigate to /reports/operations/field-ops-productivity</t>
  </si>
  <si>
    <t>RPT-09</t>
  </si>
  <si>
    <t>Report templates page — real data</t>
  </si>
  <si>
    <t>Navigate to /reports/templates</t>
  </si>
  <si>
    <t>Templates from API (not hardcoded).</t>
  </si>
  <si>
    <t>RPT-10</t>
  </si>
  <si>
    <t>Create report</t>
  </si>
  <si>
    <t>Navigate to /reports/create &gt; Fill &gt; Submit</t>
  </si>
  <si>
    <t>Report created via API (not setTimeout).</t>
  </si>
  <si>
    <t>RPT-11</t>
  </si>
  <si>
    <t>Edit report</t>
  </si>
  <si>
    <t>Open report &gt; Edit &gt; Save</t>
  </si>
  <si>
    <t>Changes saved via API.</t>
  </si>
  <si>
    <t>RPT-12</t>
  </si>
  <si>
    <t>Export report data</t>
  </si>
  <si>
    <t>On any report &gt; Click Export</t>
  </si>
  <si>
    <t>CSV or PDF downloaded.</t>
  </si>
  <si>
    <t>Tendani</t>
  </si>
  <si>
    <t>FieldVibe Platform  |  Test Date: 30/03/2026________  |  Tester: _Tendani_______  |  Environment: fieldvibe.vantax.co.za</t>
  </si>
  <si>
    <t>30/03/2026</t>
  </si>
  <si>
    <t>Login successful. System returned access_token and user object, and user was redirected to dashboard as expected.</t>
  </si>
  <si>
    <t>When attempting to create a user, the request fails with a 400 (Bad Request) error due to missing required field “roles” in the request payload. User is not created.</t>
  </si>
  <si>
    <t>When invalid credentials are entered, the system displays the error message "Invalid credentials", does not store any token, and the user remains on the login page.</t>
  </si>
  <si>
    <t>API endpoint routing works as expected; the application correctly points to the production API.</t>
  </si>
  <si>
    <t>The application fails to use the refresh token to obtain a new access token when the page is reloaded. Although the user remains active during navigation, a page refresh results in logout, indicating missing or incomplete automatic token refresh implementation.</t>
  </si>
  <si>
    <t>Upon logout, authentication tokens were cleared and user was redirected to login. Attempts to access protected resources resulted in 401 Unauthorized responses, confirming proper session invalidation.</t>
  </si>
  <si>
    <t>Upon accessing Profile/Preference settings, the UI was unresponsive, no API calls were triggered, and no error messages were displayed, preventing testing of the Change Password functionality.</t>
  </si>
  <si>
    <t>Clicking "Forgot Password" shows a success message but the email queue table does not exist so the API doesn’t return the token and no email is sent</t>
  </si>
  <si>
    <t>Following the reset link cannot be tested because the password reset email and token are not accessible; without a token, the functionality to enter a new password and mark the token as used cannot be verified.</t>
  </si>
  <si>
    <t>After manually clearing the access and refresh tokens, navigating through dashboard tabs still works and the user is not redirected to login. The user is only redirected after a full page refresh, indicating that session invalidation is not applied immediately across the frontend.</t>
  </si>
  <si>
    <t>After logging in, closing the browser tab and reopening the same URL keeps the user authenticated. The login screen is not shown, and the dashboard loads directly, indicating that the session persists across browser restarts and is not cleared on tab close.</t>
  </si>
  <si>
    <t>After 5 consecutive failed login attempts, the system displayed “Too many requests. Please try again later” on the 6th attempt as expected. However, attempts to log in with a different account from the same IP were also blocked, indicating that rate limiting is applied globally rather than per user.</t>
  </si>
  <si>
    <t>Rate limit enforced across Workers isolates (not just in-memory).+B17:E17A17:E17B17:E17C17:E17H16C17:E17</t>
  </si>
  <si>
    <t>After 5 consecutive failed login attempts from the same IP in production, the system returned a rate limit error on the 6th attempt as expected. However, subsequent login attempts with the correct password were also blocked, and the restriction persisted even when using a different IP, indicating that rate limiting is not correctly scoped to the originating IP and may be enforced globally or not resetting as expected across sessions.</t>
  </si>
  <si>
    <t>31/03/2026</t>
  </si>
  <si>
    <t>API requests include the Authorization header with a valid Bearer token, and responses contain the X-Request-ID header along with rate limiting headers, confirming correct implementation of authentication and response tracing.</t>
  </si>
  <si>
    <t>After removing the access token and refreshing the page, the user is logged out and required to log in again. No refresh request is triggered, indicating that the refresh token is not used to obtain a new access token when the session is restored, preventing validation of concurrent refresh behavior.</t>
  </si>
  <si>
    <t>Mobile login page renders correctly in a mobile viewport with properly aligned and responsive UI elements, and login functionality works as expected with successful authentication and redirection.</t>
  </si>
  <si>
    <t>The system does not allow creating users with the same email in different tenants. As a result, multi-tenant login isolation for same-email users cannot be tested, and user creation fails with a 409 Conflict.</t>
  </si>
  <si>
    <t>The API response includes all required security headers, ensuring protection against MIME sniffing, clickjacking, and enforcing HTTPS.</t>
  </si>
  <si>
    <t>FieldVibe Platform  |  Test Date: _31/03/2026_______  |  Tester: Tendani________  |  Environment: fieldvibe.vantax.co.za</t>
  </si>
  <si>
    <t>On the Dashboard, the Revenue Trends and Sales Performance graphs render correctly but display no data, and no errors appear in the console. When clicking Scheduled Visits under Quick Actions, the system returns a 404 Not Found error, indicating the route or API may be missing or misconfigured.</t>
  </si>
  <si>
    <t>Clicking Insights and all child links navigates correctly to their respective pages. All pages render as expected with no errors or redirects.</t>
  </si>
  <si>
    <t>Clicking Trade Promos under Insights navigates directly to the TradePromoInsights page. The page renders correctly with no redirects, and the navigation configuration matches the route in App.tsx.</t>
  </si>
  <si>
    <t>Most Field Operations child pages render correctly. However, Live Map, GPS Tracking, and Deep Insights pages fail to display content and show the error “Something went wrong. We’re sorry, but something unexpected happened. Please try refreshing the page.”, even though the APIs return 200 OK. Other child pages work as expected.</t>
  </si>
  <si>
    <t>All pages render without errors. Cash Recon page is functioning correctly, even though no records exist yet.</t>
  </si>
  <si>
    <t>Movements page fails to render data due to a front-end error. All other pages work as expected.</t>
  </si>
  <si>
    <t>Clicking Stock Levels navigates directly to the Stock Levels page. The page renders correctly and does not redirect to /dashboard.</t>
  </si>
  <si>
    <t>Stock Movements page renders but fails to load data, showing “Failed to load data” and console error _backgroundRevalidation undefined.</t>
  </si>
  <si>
    <t>Clicking Warehouses navigates directly to the Warehouses page. The page renders correctly and does not redirect to /dashboard.</t>
  </si>
  <si>
    <t>All Sales child pages render correctly. Clicking Sales &gt; Dashboard navigates to SalesDashboard with no redirect.</t>
  </si>
  <si>
    <t xml:space="preserve">Clicking Sales&gt; Dashboard navigates directly to the Dashboard page. The page renders correctly </t>
  </si>
  <si>
    <t>Directory and KYC pages render correctly; Surveys returns 404 Not Found; Credit Management shows “Something went wrong”.</t>
  </si>
  <si>
    <t>Clicking Credit Management navigates to the page, but it fails to display content and shows: “Something went wrong. We're sorry, but something unexpected happened. Please try refreshing the page.”</t>
  </si>
  <si>
    <t>All Marketing child pages render correctly. No /marketing root page exists.</t>
  </si>
  <si>
    <t>Invoices, Payments, Cash Reconciliation, and Commissions pages render correctly.However, Finance Dashboard does not render as expected and fails to load the correct page (does not behave as intended for /finance/dashboard).</t>
  </si>
  <si>
    <t>Clicking Finance &gt; Dashboard navigates to the page, but it fails to render and displays the error: “Something went wrong. We're sorry, but something unexpected happened. Please try refreshing the page.”</t>
  </si>
  <si>
    <t>On first click, most Admin pages (Users, Roles, Brands, Price Lists, Territories, Surveys, Settings, Audit Log, Import/Export) display the error: “Something went wrong. We're sorry, but something unexpected happened. Please try refreshing the page.”After clicking “Try again”, the pages load and render correctly</t>
  </si>
  <si>
    <t>All mobile bottom tabs navigate to their respective pages correctly. The “More” tab opens the appropriate menu/page and does not redirect to the dashboard.</t>
  </si>
  <si>
    <t>Tapping the “More” tab opens the MoreMenuPage, which displays a grid of all modules correctly.</t>
  </si>
  <si>
    <t>Navigating to an invalid route displays a 404 page with a “Page not found” message and a link to the dashboard. No automatic redirect occurs.</t>
  </si>
  <si>
    <t>Command palette displays relevant results when typing “Sales”, and selecting an option navigates correctly to the respective page.</t>
  </si>
  <si>
    <t>Route not implemented; page and breadcrumbs cannot be accessed, blocking test execution.</t>
  </si>
  <si>
    <t>FieldVibe Platform  |  Test Date: _31/03/2026_______  |  Tester: __Tendani______  |  Environment: fieldvibe.vantax.co.za</t>
  </si>
  <si>
    <t>Total Revenue, Active Customers, Products Sold show 0; Field Agents shows 83 vs 69 in DB; charts do not render; no console errors.</t>
  </si>
  <si>
    <t>Nothing changes after choosing a date range filter</t>
  </si>
  <si>
    <t>Clicking refresh does not reload data; spinner not displayed; dashboard remains unchanged.</t>
  </si>
  <si>
    <t>Revenue, Orders, Visits, Agents all show 0; no charts or aggregated data displayed; no console errors</t>
  </si>
  <si>
    <t>no charts or aggregated data displayed; no console errors</t>
  </si>
  <si>
    <t>Page fails to load data; no van performance metrics or route completion rates displayed. Functionality not working as expected</t>
  </si>
  <si>
    <t>No real data</t>
  </si>
  <si>
    <t>There is no analytics page</t>
  </si>
  <si>
    <t>The csv downloads shows real data</t>
  </si>
  <si>
    <t>Dashboard loads without any loading spinners; data either appears instantly or remains blank during fetch. This does not meet the expected behavior of showing loading indicators while data is being retrieved.</t>
  </si>
  <si>
    <t>Customer data loads correctly from the API and is displayed in the list. Pagination and search filtering are working as expected. However, the Type filter is missing a "Store" option, even though all customers in the list are stores. This creates a mismatch between the dataset and available filter options, limiting proper filtering.</t>
  </si>
  <si>
    <t>Customer creation fails when submitting the form. The API returns a 400 Bad Request response on POST /api/customers. This indicates the request is not being accepted by the server, possibly due to missing or invalid required fields. As a result, the customer is not created, does not appear in the list, and no detail page is accessible.</t>
  </si>
  <si>
    <t>Editing a customer fails when attempting to save changes. Although only the name is modified, the system requires the customer code field, which is not editable in the form. This prevents the update from being submitted successfully, blocking the edit functionality.</t>
  </si>
  <si>
    <t>Customer detail tabs are not functioning correctly,credit Management is not working, KYC shows no data, and Surveys returns a 404 error in the console.</t>
  </si>
  <si>
    <t>Customer search functionality works, but it triggers on every keystroke instead of waiting for the user to finish typing or submit, resulting in premature and excessive filtering.</t>
  </si>
  <si>
    <t>Customer deactivation works as expected,customer is set to inactive and no longer appears in the active list.</t>
  </si>
  <si>
    <t>KYC dashboard shows no data</t>
  </si>
  <si>
    <t>Pending KYC cases cannot be approved; no data shown on dashboard</t>
  </si>
  <si>
    <t>Unable to perform action, no pending KYC cases available; reject button not accessible</t>
  </si>
  <si>
    <t>Upload option not available; cannot upload any document</t>
  </si>
  <si>
    <t>Create" button unavailable; unable to create new KYC case</t>
  </si>
  <si>
    <t>Stats option not available; cannot verify counts</t>
  </si>
  <si>
    <t>Click Edit option not available, cannot confirm if changes persist</t>
  </si>
  <si>
    <t>Credit Management does not work it returns "Something went wrong
We're sorry, but something unexpected happened. Please try refreshing the page."</t>
  </si>
  <si>
    <t>There is no KYC Management list</t>
  </si>
  <si>
    <t>All KPI's returns 0</t>
  </si>
  <si>
    <t>The survey tab does not work it returns 404 error in the console</t>
  </si>
  <si>
    <t>There is no reports page</t>
  </si>
  <si>
    <t>There is no option to create a KYC case</t>
  </si>
  <si>
    <t>There is no informmation displayed everything is zero</t>
  </si>
  <si>
    <t>No sales orders exist, order list displays placeholder message</t>
  </si>
  <si>
    <t>Order created but pricing missing; API call for customer prices returns 404</t>
  </si>
  <si>
    <t>Order detail shows no items tab,Key fields (Payment Terms, SO Number, Order Date, Sales Rep, Delivery Date, Created By, Order Amount) display empty or zero (R 0.00)</t>
  </si>
  <si>
    <t>No option to edit existing sales order</t>
  </si>
  <si>
    <t>No option to cancel existing sales order</t>
  </si>
  <si>
    <t>Previously created order appears in invoice list</t>
  </si>
  <si>
    <t>Invoice created successfully and appears in list</t>
  </si>
  <si>
    <t>No payments displayed; message shows “Sales Payments will appear here once they are created” no records exist yet</t>
  </si>
  <si>
    <t>There is no Quotation workflow</t>
  </si>
  <si>
    <t>No returns displayed; message shows “No sales returns found
Sales Returns will appear here once they are created. Get started by creating your first record.” no records exist yet</t>
  </si>
  <si>
    <t xml:space="preserve">An invoice is required, but there are no invoices available to select, even though invoices exist in the invoice list </t>
  </si>
  <si>
    <t>An order number is required, but no order numbers are available to select from previous orders</t>
  </si>
  <si>
    <t>Credit notes list displays as expected</t>
  </si>
  <si>
    <t>No Kanban board present</t>
  </si>
  <si>
    <t>No Status History present</t>
  </si>
  <si>
    <t>No price displayed, custom pricing not applied</t>
  </si>
  <si>
    <t>There is no delivery tab</t>
  </si>
  <si>
    <t>FieldVibe Platform  |  Test Date: __1/04/2026______  |  Tester: __Tendani______  |  Environment: fieldvibe.vantax.co.za</t>
  </si>
  <si>
    <t>FieldVibe Platform  |  Test Date: _1/04/2026_______  |  Tester: _Tendani_______  |  Environment: fieldvibe.vantax.co.za</t>
  </si>
  <si>
    <t>Dashboard does not show any real time data</t>
  </si>
  <si>
    <t xml:space="preserve">I can not test this because I can not create a new customer and it needs a customer within 50m redious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</si>
</sst>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4"/>
      <color rgb="FFFFFFFF"/>
      <name val="Arial"/>
      <charset val="1"/>
    </font>
    <font>
      <sz val="10"/>
      <color rgb="FF999999"/>
      <name val="Arial"/>
      <charset val="1"/>
    </font>
    <font>
      <b/>
      <sz val="10"/>
      <color rgb="FFFFFFFF"/>
      <name val="Arial"/>
      <charset val="1"/>
    </font>
    <font>
      <b/>
      <sz val="10"/>
      <color rgb="FF1A1A1A"/>
      <name val="Arial"/>
      <charset val="1"/>
    </font>
    <font>
      <sz val="10"/>
      <color rgb="FF1A1A1A"/>
      <name val="Arial"/>
      <charset val="1"/>
    </font>
    <font>
      <b/>
      <sz val="11"/>
      <color rgb="FFFFFFFF"/>
      <name val="Arial"/>
      <charset val="1"/>
    </font>
    <font>
      <sz val="10"/>
      <color rgb="FF1A1A1A"/>
      <name val="Arial"/>
      <family val="2"/>
    </font>
    <font>
      <sz val="10"/>
      <color rgb="FF999999"/>
      <name val="Arial"/>
      <family val="2"/>
    </font>
  </fonts>
  <fills count="13">
    <fill>
      <patternFill patternType="none"/>
    </fill>
    <fill>
      <patternFill patternType="gray125"/>
    </fill>
    <fill>
      <patternFill patternType="solid">
        <fgColor rgb="FF0A111E"/>
        <bgColor rgb="FF0D1520"/>
      </patternFill>
    </fill>
    <fill>
      <patternFill patternType="solid">
        <fgColor rgb="FF0D1520"/>
        <bgColor rgb="FF0A111E"/>
      </patternFill>
    </fill>
    <fill>
      <patternFill patternType="solid">
        <fgColor rgb="FF1A2332"/>
        <bgColor rgb="FF1A1A1A"/>
      </patternFill>
    </fill>
    <fill>
      <patternFill patternType="solid">
        <fgColor rgb="FFF8F9FA"/>
        <bgColor rgb="FFFFFFFF"/>
      </patternFill>
    </fill>
    <fill>
      <patternFill patternType="solid">
        <fgColor rgb="FFFFFFFF"/>
        <bgColor rgb="FFF8F9FA"/>
      </patternFill>
    </fill>
    <fill>
      <patternFill patternType="solid">
        <fgColor rgb="FFD4EDDA"/>
        <bgColor rgb="FFDEE2E6"/>
      </patternFill>
    </fill>
    <fill>
      <patternFill patternType="solid">
        <fgColor rgb="FFF8D7DA"/>
        <bgColor rgb="FFDEE2E6"/>
      </patternFill>
    </fill>
    <fill>
      <patternFill patternType="solid">
        <fgColor rgb="FFFFF3CD"/>
        <bgColor rgb="FFF8F9FA"/>
      </patternFill>
    </fill>
    <fill>
      <patternFill patternType="solid">
        <fgColor rgb="FFE74C3C"/>
        <bgColor rgb="FFFF8080"/>
      </patternFill>
    </fill>
    <fill>
      <patternFill patternType="solid">
        <fgColor rgb="FFF39C12"/>
        <bgColor rgb="FFFFCC00"/>
      </patternFill>
    </fill>
    <fill>
      <patternFill patternType="solid">
        <fgColor rgb="FF3498DB"/>
        <bgColor rgb="FF3366FF"/>
      </patternFill>
    </fill>
  </fills>
  <borders count="3">
    <border>
      <left/>
      <right/>
      <top/>
      <bottom/>
      <diagonal/>
    </border>
    <border>
      <left style="thin">
        <color rgb="FFDEE2E6"/>
      </left>
      <right style="thin">
        <color rgb="FFDEE2E6"/>
      </right>
      <top style="thin">
        <color rgb="FFDEE2E6"/>
      </top>
      <bottom style="thin">
        <color rgb="FFDEE2E6"/>
      </bottom>
      <diagonal/>
    </border>
    <border>
      <left style="thin">
        <color rgb="FFDEE2E6"/>
      </left>
      <right style="thin">
        <color rgb="FFDEE2E6"/>
      </right>
      <top/>
      <bottom/>
      <diagonal/>
    </border>
  </borders>
  <cellStyleXfs count="1">
    <xf numFmtId="0" fontId="0" fillId="0" borderId="0"/>
  </cellStyleXfs>
  <cellXfs count="37">
    <xf numFmtId="0" fontId="0" fillId="0" borderId="0" xfId="0"/>
    <xf numFmtId="0" fontId="2" fillId="3" borderId="0" xfId="0" applyFont="1" applyFill="1" applyBorder="1"/>
    <xf numFmtId="0" fontId="1" fillId="2" borderId="0" xfId="0" applyFont="1" applyFill="1" applyBorder="1" applyAlignment="1">
      <alignment horizontal="left" vertical="center"/>
    </xf>
    <xf numFmtId="0" fontId="3" fillId="4"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9" fontId="5" fillId="5" borderId="1" xfId="0" applyNumberFormat="1" applyFont="1" applyFill="1" applyBorder="1" applyAlignment="1">
      <alignment horizontal="left" vertical="center" wrapText="1"/>
    </xf>
    <xf numFmtId="0" fontId="4" fillId="6"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9" fontId="5" fillId="6" borderId="1" xfId="0" applyNumberFormat="1" applyFont="1" applyFill="1" applyBorder="1" applyAlignment="1">
      <alignment horizontal="left" vertical="center" wrapText="1"/>
    </xf>
    <xf numFmtId="0" fontId="6" fillId="2" borderId="0" xfId="0" applyFont="1" applyFill="1"/>
    <xf numFmtId="0" fontId="6" fillId="2" borderId="1" xfId="0" applyFont="1" applyFill="1" applyBorder="1"/>
    <xf numFmtId="9" fontId="6" fillId="2" borderId="1" xfId="0" applyNumberFormat="1" applyFont="1" applyFill="1" applyBorder="1"/>
    <xf numFmtId="0" fontId="4" fillId="0" borderId="0" xfId="0" applyFont="1"/>
    <xf numFmtId="0" fontId="5" fillId="7" borderId="0" xfId="0" applyFont="1" applyFill="1"/>
    <xf numFmtId="0" fontId="0" fillId="0" borderId="0" xfId="0" applyFont="1"/>
    <xf numFmtId="0" fontId="5" fillId="8" borderId="0" xfId="0" applyFont="1" applyFill="1"/>
    <xf numFmtId="0" fontId="5" fillId="9" borderId="0" xfId="0" applyFont="1" applyFill="1"/>
    <xf numFmtId="0" fontId="5" fillId="0" borderId="0" xfId="0" applyFont="1"/>
    <xf numFmtId="0" fontId="3" fillId="10" borderId="0" xfId="0" applyFont="1" applyFill="1"/>
    <xf numFmtId="0" fontId="3" fillId="11" borderId="0" xfId="0" applyFont="1" applyFill="1"/>
    <xf numFmtId="0" fontId="3" fillId="12" borderId="0" xfId="0" applyFont="1" applyFill="1"/>
    <xf numFmtId="0" fontId="4" fillId="6"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7" fillId="5"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7" fillId="7" borderId="0" xfId="0" applyFont="1" applyFill="1"/>
    <xf numFmtId="0" fontId="8" fillId="3" borderId="0" xfId="0" applyFont="1" applyFill="1" applyBorder="1"/>
    <xf numFmtId="0" fontId="7" fillId="8" borderId="0" xfId="0" applyFont="1" applyFill="1"/>
    <xf numFmtId="14" fontId="5" fillId="5" borderId="1" xfId="0" applyNumberFormat="1" applyFont="1" applyFill="1" applyBorder="1" applyAlignment="1">
      <alignment horizontal="left" vertical="center" wrapText="1"/>
    </xf>
    <xf numFmtId="14" fontId="5" fillId="6" borderId="1" xfId="0" applyNumberFormat="1" applyFont="1" applyFill="1" applyBorder="1" applyAlignment="1">
      <alignment horizontal="left" vertical="center" wrapText="1"/>
    </xf>
    <xf numFmtId="0" fontId="7" fillId="6"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A111E"/>
      <rgbColor rgb="FF808000"/>
      <rgbColor rgb="FF800080"/>
      <rgbColor rgb="FF008080"/>
      <rgbColor rgb="FFC0C0C0"/>
      <rgbColor rgb="FF808080"/>
      <rgbColor rgb="FF9999FF"/>
      <rgbColor rgb="FF993366"/>
      <rgbColor rgb="FFFFF3CD"/>
      <rgbColor rgb="FFF8F9FA"/>
      <rgbColor rgb="FF660066"/>
      <rgbColor rgb="FFFF8080"/>
      <rgbColor rgb="FF0066CC"/>
      <rgbColor rgb="FFDEE2E6"/>
      <rgbColor rgb="FF000080"/>
      <rgbColor rgb="FFFF00FF"/>
      <rgbColor rgb="FFFFFF00"/>
      <rgbColor rgb="FF00FFFF"/>
      <rgbColor rgb="FF800080"/>
      <rgbColor rgb="FF800000"/>
      <rgbColor rgb="FF008080"/>
      <rgbColor rgb="FF0000FF"/>
      <rgbColor rgb="FF00CCFF"/>
      <rgbColor rgb="FFCCFFFF"/>
      <rgbColor rgb="FFD4EDDA"/>
      <rgbColor rgb="FFFFFF99"/>
      <rgbColor rgb="FF99CCFF"/>
      <rgbColor rgb="FFFF99CC"/>
      <rgbColor rgb="FFCC99FF"/>
      <rgbColor rgb="FFF8D7DA"/>
      <rgbColor rgb="FF3366FF"/>
      <rgbColor rgb="FF33CCCC"/>
      <rgbColor rgb="FF99CC00"/>
      <rgbColor rgb="FFFFCC00"/>
      <rgbColor rgb="FFF39C12"/>
      <rgbColor rgb="FFE74C3C"/>
      <rgbColor rgb="FF666699"/>
      <rgbColor rgb="FF999999"/>
      <rgbColor rgb="FF003366"/>
      <rgbColor rgb="FF3498DB"/>
      <rgbColor rgb="FF0D1520"/>
      <rgbColor rgb="FF1A1A1A"/>
      <rgbColor rgb="FF993300"/>
      <rgbColor rgb="FF993366"/>
      <rgbColor rgb="FF333399"/>
      <rgbColor rgb="FF1A233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
  <sheetViews>
    <sheetView topLeftCell="A4" zoomScaleNormal="100" workbookViewId="0">
      <selection activeCell="A23" sqref="A23"/>
    </sheetView>
  </sheetViews>
  <sheetFormatPr defaultColWidth="8.7109375" defaultRowHeight="15" x14ac:dyDescent="0.25"/>
  <cols>
    <col min="1" max="1" width="30" customWidth="1"/>
    <col min="2" max="7" width="15" customWidth="1"/>
    <col min="8" max="9" width="20" customWidth="1"/>
    <col min="10" max="10" width="25" customWidth="1"/>
  </cols>
  <sheetData>
    <row r="1" spans="1:10" ht="18" x14ac:dyDescent="0.25">
      <c r="A1" s="2" t="s">
        <v>0</v>
      </c>
      <c r="B1" s="2"/>
      <c r="C1" s="2"/>
      <c r="D1" s="2"/>
      <c r="E1" s="2"/>
      <c r="F1" s="2"/>
      <c r="G1" s="2"/>
      <c r="H1" s="2"/>
      <c r="I1" s="2"/>
      <c r="J1" s="2"/>
    </row>
    <row r="2" spans="1:10" x14ac:dyDescent="0.25">
      <c r="A2" s="1" t="s">
        <v>1</v>
      </c>
      <c r="B2" s="1"/>
      <c r="C2" s="1"/>
      <c r="D2" s="1"/>
      <c r="E2" s="1"/>
      <c r="F2" s="1"/>
      <c r="G2" s="1"/>
      <c r="H2" s="1"/>
      <c r="I2" s="1"/>
      <c r="J2" s="1"/>
    </row>
    <row r="4" spans="1:10" x14ac:dyDescent="0.25">
      <c r="A4" s="3" t="s">
        <v>2</v>
      </c>
      <c r="B4" s="3" t="s">
        <v>3</v>
      </c>
      <c r="C4" s="3" t="s">
        <v>4</v>
      </c>
      <c r="D4" s="3" t="s">
        <v>5</v>
      </c>
      <c r="E4" s="3" t="s">
        <v>6</v>
      </c>
      <c r="F4" s="3" t="s">
        <v>7</v>
      </c>
      <c r="G4" s="3" t="s">
        <v>8</v>
      </c>
      <c r="H4" s="3" t="s">
        <v>9</v>
      </c>
      <c r="I4" s="3" t="s">
        <v>10</v>
      </c>
      <c r="J4" s="3" t="s">
        <v>11</v>
      </c>
    </row>
    <row r="5" spans="1:10" x14ac:dyDescent="0.25">
      <c r="A5" s="4" t="s">
        <v>12</v>
      </c>
      <c r="B5" s="5">
        <v>18</v>
      </c>
      <c r="C5" s="5">
        <v>5</v>
      </c>
      <c r="D5" s="5">
        <v>8</v>
      </c>
      <c r="E5" s="5">
        <v>5</v>
      </c>
      <c r="F5" s="5">
        <v>8</v>
      </c>
      <c r="G5" s="5">
        <v>6</v>
      </c>
      <c r="H5" s="6">
        <f t="shared" ref="H5:H18" si="0">IF(B5=0,"",F5/B5)</f>
        <v>0.44444444444444442</v>
      </c>
      <c r="I5" s="5" t="s">
        <v>13</v>
      </c>
      <c r="J5" s="5" t="s">
        <v>1136</v>
      </c>
    </row>
    <row r="6" spans="1:10" x14ac:dyDescent="0.25">
      <c r="A6" s="7" t="s">
        <v>14</v>
      </c>
      <c r="B6" s="8">
        <v>22</v>
      </c>
      <c r="C6" s="8">
        <v>8</v>
      </c>
      <c r="D6" s="8">
        <v>10</v>
      </c>
      <c r="E6" s="8">
        <v>4</v>
      </c>
      <c r="F6" s="8">
        <v>11</v>
      </c>
      <c r="G6" s="8">
        <v>10</v>
      </c>
      <c r="H6" s="9">
        <f t="shared" si="0"/>
        <v>0.5</v>
      </c>
      <c r="I6" s="8" t="s">
        <v>15</v>
      </c>
      <c r="J6" s="30" t="s">
        <v>1136</v>
      </c>
    </row>
    <row r="7" spans="1:10" x14ac:dyDescent="0.25">
      <c r="A7" s="4" t="s">
        <v>16</v>
      </c>
      <c r="B7" s="5">
        <v>16</v>
      </c>
      <c r="C7" s="5">
        <v>2</v>
      </c>
      <c r="D7" s="5">
        <v>8</v>
      </c>
      <c r="E7" s="5">
        <v>6</v>
      </c>
      <c r="F7" s="5">
        <v>0</v>
      </c>
      <c r="G7" s="5">
        <v>0</v>
      </c>
      <c r="H7" s="6">
        <f t="shared" si="0"/>
        <v>0</v>
      </c>
      <c r="I7" s="5" t="s">
        <v>17</v>
      </c>
      <c r="J7" s="29" t="s">
        <v>1136</v>
      </c>
    </row>
    <row r="8" spans="1:10" x14ac:dyDescent="0.25">
      <c r="A8" s="7" t="s">
        <v>18</v>
      </c>
      <c r="B8" s="8">
        <v>20</v>
      </c>
      <c r="C8" s="8">
        <v>4</v>
      </c>
      <c r="D8" s="8">
        <v>10</v>
      </c>
      <c r="E8" s="8">
        <v>6</v>
      </c>
      <c r="F8" s="8">
        <v>1</v>
      </c>
      <c r="G8" s="8">
        <v>9</v>
      </c>
      <c r="H8" s="9">
        <f t="shared" si="0"/>
        <v>0.05</v>
      </c>
      <c r="I8" s="8" t="s">
        <v>19</v>
      </c>
      <c r="J8" s="29" t="s">
        <v>1136</v>
      </c>
    </row>
    <row r="9" spans="1:10" x14ac:dyDescent="0.25">
      <c r="A9" s="4" t="s">
        <v>20</v>
      </c>
      <c r="B9" s="5">
        <v>18</v>
      </c>
      <c r="C9" s="5">
        <v>3</v>
      </c>
      <c r="D9" s="5">
        <v>9</v>
      </c>
      <c r="E9" s="5">
        <v>6</v>
      </c>
      <c r="F9" s="5">
        <v>6</v>
      </c>
      <c r="G9" s="5">
        <v>6</v>
      </c>
      <c r="H9" s="6">
        <f t="shared" si="0"/>
        <v>0.33333333333333331</v>
      </c>
      <c r="I9" s="5" t="s">
        <v>21</v>
      </c>
      <c r="J9" s="29" t="s">
        <v>1136</v>
      </c>
    </row>
    <row r="10" spans="1:10" x14ac:dyDescent="0.25">
      <c r="A10" s="7" t="s">
        <v>22</v>
      </c>
      <c r="B10" s="8">
        <v>22</v>
      </c>
      <c r="C10" s="8">
        <v>4</v>
      </c>
      <c r="D10" s="8">
        <v>12</v>
      </c>
      <c r="E10" s="8">
        <v>6</v>
      </c>
      <c r="F10" s="8">
        <v>0</v>
      </c>
      <c r="G10" s="8">
        <v>0</v>
      </c>
      <c r="H10" s="9">
        <f t="shared" si="0"/>
        <v>0</v>
      </c>
      <c r="I10" s="8" t="s">
        <v>23</v>
      </c>
      <c r="J10" s="30" t="s">
        <v>1136</v>
      </c>
    </row>
    <row r="11" spans="1:10" x14ac:dyDescent="0.25">
      <c r="A11" s="4" t="s">
        <v>24</v>
      </c>
      <c r="B11" s="5">
        <v>24</v>
      </c>
      <c r="C11" s="5">
        <v>5</v>
      </c>
      <c r="D11" s="5">
        <v>12</v>
      </c>
      <c r="E11" s="5">
        <v>7</v>
      </c>
      <c r="F11" s="5">
        <v>0</v>
      </c>
      <c r="G11" s="5">
        <v>0</v>
      </c>
      <c r="H11" s="6">
        <f t="shared" si="0"/>
        <v>0</v>
      </c>
      <c r="I11" s="5" t="s">
        <v>25</v>
      </c>
      <c r="J11" s="5"/>
    </row>
    <row r="12" spans="1:10" x14ac:dyDescent="0.25">
      <c r="A12" s="7" t="s">
        <v>26</v>
      </c>
      <c r="B12" s="8">
        <v>16</v>
      </c>
      <c r="C12" s="8">
        <v>4</v>
      </c>
      <c r="D12" s="8">
        <v>8</v>
      </c>
      <c r="E12" s="8">
        <v>4</v>
      </c>
      <c r="F12" s="8">
        <v>0</v>
      </c>
      <c r="G12" s="8">
        <v>0</v>
      </c>
      <c r="H12" s="9">
        <f t="shared" si="0"/>
        <v>0</v>
      </c>
      <c r="I12" s="8" t="s">
        <v>27</v>
      </c>
      <c r="J12" s="8"/>
    </row>
    <row r="13" spans="1:10" x14ac:dyDescent="0.25">
      <c r="A13" s="4" t="s">
        <v>28</v>
      </c>
      <c r="B13" s="5">
        <v>18</v>
      </c>
      <c r="C13" s="5">
        <v>2</v>
      </c>
      <c r="D13" s="5">
        <v>10</v>
      </c>
      <c r="E13" s="5">
        <v>6</v>
      </c>
      <c r="F13" s="5">
        <v>0</v>
      </c>
      <c r="G13" s="5">
        <v>0</v>
      </c>
      <c r="H13" s="6">
        <f t="shared" si="0"/>
        <v>0</v>
      </c>
      <c r="I13" s="5" t="s">
        <v>29</v>
      </c>
      <c r="J13" s="5"/>
    </row>
    <row r="14" spans="1:10" x14ac:dyDescent="0.25">
      <c r="A14" s="7" t="s">
        <v>30</v>
      </c>
      <c r="B14" s="8">
        <v>20</v>
      </c>
      <c r="C14" s="8">
        <v>4</v>
      </c>
      <c r="D14" s="8">
        <v>10</v>
      </c>
      <c r="E14" s="8">
        <v>6</v>
      </c>
      <c r="F14" s="8">
        <v>0</v>
      </c>
      <c r="G14" s="8">
        <v>0</v>
      </c>
      <c r="H14" s="9">
        <f t="shared" si="0"/>
        <v>0</v>
      </c>
      <c r="I14" s="8" t="s">
        <v>31</v>
      </c>
      <c r="J14" s="8"/>
    </row>
    <row r="15" spans="1:10" x14ac:dyDescent="0.25">
      <c r="A15" s="4" t="s">
        <v>32</v>
      </c>
      <c r="B15" s="5">
        <v>22</v>
      </c>
      <c r="C15" s="5">
        <v>4</v>
      </c>
      <c r="D15" s="5">
        <v>12</v>
      </c>
      <c r="E15" s="5">
        <v>6</v>
      </c>
      <c r="F15" s="5">
        <v>0</v>
      </c>
      <c r="G15" s="5">
        <v>0</v>
      </c>
      <c r="H15" s="6">
        <f t="shared" si="0"/>
        <v>0</v>
      </c>
      <c r="I15" s="5" t="s">
        <v>33</v>
      </c>
      <c r="J15" s="5"/>
    </row>
    <row r="16" spans="1:10" x14ac:dyDescent="0.25">
      <c r="A16" s="7" t="s">
        <v>34</v>
      </c>
      <c r="B16" s="8">
        <v>16</v>
      </c>
      <c r="C16" s="8">
        <v>3</v>
      </c>
      <c r="D16" s="8">
        <v>8</v>
      </c>
      <c r="E16" s="8">
        <v>5</v>
      </c>
      <c r="F16" s="8">
        <v>0</v>
      </c>
      <c r="G16" s="8">
        <v>0</v>
      </c>
      <c r="H16" s="9">
        <f t="shared" si="0"/>
        <v>0</v>
      </c>
      <c r="I16" s="8" t="s">
        <v>35</v>
      </c>
      <c r="J16" s="8"/>
    </row>
    <row r="17" spans="1:10" x14ac:dyDescent="0.25">
      <c r="A17" s="4" t="s">
        <v>36</v>
      </c>
      <c r="B17" s="5">
        <v>10</v>
      </c>
      <c r="C17" s="5">
        <v>1</v>
      </c>
      <c r="D17" s="5">
        <v>5</v>
      </c>
      <c r="E17" s="5">
        <v>4</v>
      </c>
      <c r="F17" s="5">
        <v>0</v>
      </c>
      <c r="G17" s="5">
        <v>0</v>
      </c>
      <c r="H17" s="6">
        <f t="shared" si="0"/>
        <v>0</v>
      </c>
      <c r="I17" s="5" t="s">
        <v>37</v>
      </c>
      <c r="J17" s="5"/>
    </row>
    <row r="18" spans="1:10" x14ac:dyDescent="0.25">
      <c r="A18" s="10" t="s">
        <v>38</v>
      </c>
      <c r="B18" s="11">
        <f t="shared" ref="B18:G18" si="1">SUM(B5:B17)</f>
        <v>242</v>
      </c>
      <c r="C18" s="11">
        <f t="shared" si="1"/>
        <v>49</v>
      </c>
      <c r="D18" s="11">
        <f t="shared" si="1"/>
        <v>122</v>
      </c>
      <c r="E18" s="11">
        <f t="shared" si="1"/>
        <v>71</v>
      </c>
      <c r="F18" s="11">
        <f t="shared" si="1"/>
        <v>26</v>
      </c>
      <c r="G18" s="11">
        <f t="shared" si="1"/>
        <v>31</v>
      </c>
      <c r="H18" s="12">
        <f t="shared" si="0"/>
        <v>0.10743801652892562</v>
      </c>
    </row>
    <row r="21" spans="1:10" x14ac:dyDescent="0.25">
      <c r="A21" s="13" t="s">
        <v>39</v>
      </c>
    </row>
    <row r="22" spans="1:10" x14ac:dyDescent="0.25">
      <c r="A22" s="14" t="s">
        <v>7</v>
      </c>
      <c r="B22" s="15" t="s">
        <v>40</v>
      </c>
    </row>
    <row r="23" spans="1:10" x14ac:dyDescent="0.25">
      <c r="A23" s="16" t="s">
        <v>8</v>
      </c>
      <c r="B23" s="15" t="s">
        <v>41</v>
      </c>
    </row>
    <row r="24" spans="1:10" x14ac:dyDescent="0.25">
      <c r="A24" s="17" t="s">
        <v>42</v>
      </c>
      <c r="B24" s="15" t="s">
        <v>43</v>
      </c>
    </row>
    <row r="25" spans="1:10" x14ac:dyDescent="0.25">
      <c r="A25" s="18" t="s">
        <v>44</v>
      </c>
      <c r="B25" s="15" t="s">
        <v>45</v>
      </c>
    </row>
    <row r="27" spans="1:10" x14ac:dyDescent="0.25">
      <c r="A27" s="13" t="s">
        <v>46</v>
      </c>
    </row>
    <row r="28" spans="1:10" x14ac:dyDescent="0.25">
      <c r="A28" s="19" t="s">
        <v>4</v>
      </c>
      <c r="B28" s="15" t="s">
        <v>47</v>
      </c>
    </row>
    <row r="29" spans="1:10" x14ac:dyDescent="0.25">
      <c r="A29" s="20" t="s">
        <v>5</v>
      </c>
      <c r="B29" s="15" t="s">
        <v>48</v>
      </c>
    </row>
    <row r="30" spans="1:10" x14ac:dyDescent="0.25">
      <c r="A30" s="21" t="s">
        <v>6</v>
      </c>
      <c r="B30" s="15" t="s">
        <v>49</v>
      </c>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A111E"/>
  </sheetPr>
  <dimension ref="A1:J28"/>
  <sheetViews>
    <sheetView topLeftCell="A34" zoomScale="97" zoomScaleNormal="112" workbookViewId="0">
      <selection activeCell="F9" sqref="F9"/>
    </sheetView>
  </sheetViews>
  <sheetFormatPr defaultColWidth="8.7109375" defaultRowHeight="15" x14ac:dyDescent="0.25"/>
  <cols>
    <col min="1" max="1" width="8" customWidth="1"/>
    <col min="2" max="2" width="12" customWidth="1"/>
    <col min="3" max="4" width="55" customWidth="1"/>
    <col min="5" max="5" width="50" customWidth="1"/>
    <col min="6" max="6" width="12" customWidth="1"/>
    <col min="7" max="7" width="18" customWidth="1"/>
    <col min="8" max="8" width="30" customWidth="1"/>
    <col min="9" max="9" width="18" customWidth="1"/>
  </cols>
  <sheetData>
    <row r="1" spans="1:10" ht="18" x14ac:dyDescent="0.25">
      <c r="A1" s="2" t="s">
        <v>50</v>
      </c>
      <c r="B1" s="2"/>
      <c r="C1" s="2"/>
      <c r="D1" s="2"/>
      <c r="E1" s="2"/>
      <c r="F1" s="2"/>
      <c r="G1" s="2"/>
      <c r="H1" s="2"/>
      <c r="I1" s="2"/>
      <c r="J1" s="2"/>
    </row>
    <row r="2" spans="1:10" x14ac:dyDescent="0.25">
      <c r="A2" s="1" t="s">
        <v>1137</v>
      </c>
      <c r="B2" s="1"/>
      <c r="C2" s="1"/>
      <c r="D2" s="1"/>
      <c r="E2" s="1"/>
      <c r="F2" s="1"/>
      <c r="G2" s="1"/>
      <c r="H2" s="1"/>
      <c r="I2" s="1"/>
      <c r="J2" s="1"/>
    </row>
    <row r="4" spans="1:10" x14ac:dyDescent="0.25">
      <c r="A4" s="3" t="s">
        <v>52</v>
      </c>
      <c r="B4" s="3" t="s">
        <v>53</v>
      </c>
      <c r="C4" s="3" t="s">
        <v>54</v>
      </c>
      <c r="D4" s="3" t="s">
        <v>55</v>
      </c>
      <c r="E4" s="3" t="s">
        <v>56</v>
      </c>
      <c r="F4" s="3" t="s">
        <v>57</v>
      </c>
      <c r="G4" s="3" t="s">
        <v>58</v>
      </c>
      <c r="H4" s="3" t="s">
        <v>59</v>
      </c>
      <c r="I4" s="3" t="s">
        <v>60</v>
      </c>
    </row>
    <row r="5" spans="1:10" ht="63.75" x14ac:dyDescent="0.25">
      <c r="A5" s="22" t="s">
        <v>61</v>
      </c>
      <c r="B5" s="23" t="s">
        <v>4</v>
      </c>
      <c r="C5" s="8" t="s">
        <v>62</v>
      </c>
      <c r="D5" s="8" t="s">
        <v>63</v>
      </c>
      <c r="E5" s="8" t="s">
        <v>64</v>
      </c>
      <c r="F5" s="16" t="s">
        <v>8</v>
      </c>
      <c r="G5" s="8" t="s">
        <v>65</v>
      </c>
      <c r="H5" s="8" t="s">
        <v>1140</v>
      </c>
      <c r="I5" s="8" t="s">
        <v>1138</v>
      </c>
    </row>
    <row r="6" spans="1:10" ht="51" x14ac:dyDescent="0.25">
      <c r="A6" s="25" t="s">
        <v>66</v>
      </c>
      <c r="B6" s="23" t="s">
        <v>4</v>
      </c>
      <c r="C6" s="5" t="s">
        <v>67</v>
      </c>
      <c r="D6" s="5" t="s">
        <v>68</v>
      </c>
      <c r="E6" s="5" t="s">
        <v>69</v>
      </c>
      <c r="F6" s="14" t="s">
        <v>7</v>
      </c>
      <c r="G6" s="5"/>
      <c r="H6" s="5" t="s">
        <v>1139</v>
      </c>
      <c r="I6" s="5" t="s">
        <v>1138</v>
      </c>
    </row>
    <row r="7" spans="1:10" ht="76.5" x14ac:dyDescent="0.25">
      <c r="A7" s="22" t="s">
        <v>70</v>
      </c>
      <c r="B7" s="23" t="s">
        <v>4</v>
      </c>
      <c r="C7" s="8" t="s">
        <v>71</v>
      </c>
      <c r="D7" s="8" t="s">
        <v>72</v>
      </c>
      <c r="E7" s="8" t="s">
        <v>73</v>
      </c>
      <c r="F7" s="14" t="s">
        <v>7</v>
      </c>
      <c r="G7" s="8"/>
      <c r="H7" s="8" t="s">
        <v>1141</v>
      </c>
      <c r="I7" s="5" t="s">
        <v>1138</v>
      </c>
    </row>
    <row r="8" spans="1:10" ht="51" x14ac:dyDescent="0.25">
      <c r="A8" s="25" t="s">
        <v>74</v>
      </c>
      <c r="B8" s="23" t="s">
        <v>4</v>
      </c>
      <c r="C8" s="5" t="s">
        <v>75</v>
      </c>
      <c r="D8" s="5" t="s">
        <v>76</v>
      </c>
      <c r="E8" s="5" t="s">
        <v>77</v>
      </c>
      <c r="F8" s="14" t="s">
        <v>7</v>
      </c>
      <c r="G8" s="5" t="s">
        <v>65</v>
      </c>
      <c r="H8" s="5" t="s">
        <v>1142</v>
      </c>
      <c r="I8" s="5" t="s">
        <v>1138</v>
      </c>
    </row>
    <row r="9" spans="1:10" ht="114.75" x14ac:dyDescent="0.25">
      <c r="A9" s="22" t="s">
        <v>78</v>
      </c>
      <c r="B9" s="23" t="s">
        <v>4</v>
      </c>
      <c r="C9" s="8" t="s">
        <v>79</v>
      </c>
      <c r="D9" s="8" t="s">
        <v>80</v>
      </c>
      <c r="E9" s="8" t="s">
        <v>81</v>
      </c>
      <c r="F9" s="16" t="s">
        <v>8</v>
      </c>
      <c r="G9" s="8" t="s">
        <v>82</v>
      </c>
      <c r="H9" s="8" t="s">
        <v>1143</v>
      </c>
      <c r="I9" s="5" t="s">
        <v>1138</v>
      </c>
    </row>
    <row r="10" spans="1:10" ht="89.25" x14ac:dyDescent="0.25">
      <c r="A10" s="25" t="s">
        <v>83</v>
      </c>
      <c r="B10" s="27" t="s">
        <v>5</v>
      </c>
      <c r="C10" s="5" t="s">
        <v>84</v>
      </c>
      <c r="D10" s="5" t="s">
        <v>85</v>
      </c>
      <c r="E10" s="5" t="s">
        <v>86</v>
      </c>
      <c r="F10" s="14" t="s">
        <v>7</v>
      </c>
      <c r="G10" s="5" t="s">
        <v>87</v>
      </c>
      <c r="H10" s="5" t="s">
        <v>1144</v>
      </c>
      <c r="I10" s="5" t="s">
        <v>1138</v>
      </c>
    </row>
    <row r="11" spans="1:10" ht="89.25" x14ac:dyDescent="0.25">
      <c r="A11" s="22" t="s">
        <v>88</v>
      </c>
      <c r="B11" s="27" t="s">
        <v>5</v>
      </c>
      <c r="C11" s="8" t="s">
        <v>89</v>
      </c>
      <c r="D11" s="8" t="s">
        <v>90</v>
      </c>
      <c r="E11" s="8" t="s">
        <v>91</v>
      </c>
      <c r="F11" s="17" t="s">
        <v>42</v>
      </c>
      <c r="G11" s="8" t="s">
        <v>87</v>
      </c>
      <c r="H11" s="8" t="s">
        <v>1145</v>
      </c>
      <c r="I11" s="5" t="s">
        <v>1138</v>
      </c>
    </row>
    <row r="12" spans="1:10" ht="63.75" x14ac:dyDescent="0.25">
      <c r="A12" s="25" t="s">
        <v>92</v>
      </c>
      <c r="B12" s="27" t="s">
        <v>5</v>
      </c>
      <c r="C12" s="5" t="s">
        <v>93</v>
      </c>
      <c r="D12" s="5" t="s">
        <v>94</v>
      </c>
      <c r="E12" s="5" t="s">
        <v>95</v>
      </c>
      <c r="F12" s="17" t="s">
        <v>42</v>
      </c>
      <c r="G12" s="5"/>
      <c r="H12" s="29" t="s">
        <v>1146</v>
      </c>
      <c r="I12" s="5" t="s">
        <v>1138</v>
      </c>
    </row>
    <row r="13" spans="1:10" ht="89.25" x14ac:dyDescent="0.25">
      <c r="A13" s="22" t="s">
        <v>96</v>
      </c>
      <c r="B13" s="27" t="s">
        <v>5</v>
      </c>
      <c r="C13" s="8" t="s">
        <v>97</v>
      </c>
      <c r="D13" s="8" t="s">
        <v>98</v>
      </c>
      <c r="E13" s="8" t="s">
        <v>99</v>
      </c>
      <c r="F13" s="17" t="s">
        <v>42</v>
      </c>
      <c r="G13" s="8"/>
      <c r="H13" s="8" t="s">
        <v>1147</v>
      </c>
      <c r="I13" s="5" t="s">
        <v>1138</v>
      </c>
    </row>
    <row r="14" spans="1:10" ht="114.75" x14ac:dyDescent="0.25">
      <c r="A14" s="25" t="s">
        <v>100</v>
      </c>
      <c r="B14" s="27" t="s">
        <v>5</v>
      </c>
      <c r="C14" s="5" t="s">
        <v>101</v>
      </c>
      <c r="D14" s="5" t="s">
        <v>102</v>
      </c>
      <c r="E14" s="5" t="s">
        <v>103</v>
      </c>
      <c r="F14" s="16" t="s">
        <v>8</v>
      </c>
      <c r="G14" s="5"/>
      <c r="H14" s="5" t="s">
        <v>1148</v>
      </c>
      <c r="I14" s="5" t="s">
        <v>1138</v>
      </c>
    </row>
    <row r="15" spans="1:10" ht="114.75" x14ac:dyDescent="0.25">
      <c r="A15" s="22" t="s">
        <v>104</v>
      </c>
      <c r="B15" s="27" t="s">
        <v>5</v>
      </c>
      <c r="C15" s="8" t="s">
        <v>105</v>
      </c>
      <c r="D15" s="8" t="s">
        <v>106</v>
      </c>
      <c r="E15" s="8" t="s">
        <v>107</v>
      </c>
      <c r="F15" s="14" t="s">
        <v>7</v>
      </c>
      <c r="G15" s="8"/>
      <c r="H15" s="8" t="s">
        <v>1149</v>
      </c>
      <c r="I15" s="5" t="s">
        <v>1138</v>
      </c>
    </row>
    <row r="16" spans="1:10" ht="127.5" x14ac:dyDescent="0.25">
      <c r="A16" s="25" t="s">
        <v>108</v>
      </c>
      <c r="B16" s="27" t="s">
        <v>5</v>
      </c>
      <c r="C16" s="5" t="s">
        <v>109</v>
      </c>
      <c r="D16" s="5" t="s">
        <v>110</v>
      </c>
      <c r="E16" s="5" t="s">
        <v>111</v>
      </c>
      <c r="F16" s="16" t="s">
        <v>8</v>
      </c>
      <c r="G16" s="5"/>
      <c r="H16" s="8" t="s">
        <v>1150</v>
      </c>
      <c r="I16" s="5" t="s">
        <v>1138</v>
      </c>
    </row>
    <row r="17" spans="1:9" ht="178.5" x14ac:dyDescent="0.25">
      <c r="A17" s="22" t="s">
        <v>112</v>
      </c>
      <c r="B17" s="28" t="s">
        <v>6</v>
      </c>
      <c r="C17" s="8" t="s">
        <v>113</v>
      </c>
      <c r="D17" s="8" t="s">
        <v>114</v>
      </c>
      <c r="E17" s="8" t="s">
        <v>1151</v>
      </c>
      <c r="F17" s="16" t="s">
        <v>8</v>
      </c>
      <c r="G17" s="8" t="s">
        <v>115</v>
      </c>
      <c r="H17" s="8" t="s">
        <v>1152</v>
      </c>
      <c r="I17" s="5" t="s">
        <v>1138</v>
      </c>
    </row>
    <row r="18" spans="1:9" ht="102" x14ac:dyDescent="0.25">
      <c r="A18" s="25" t="s">
        <v>116</v>
      </c>
      <c r="B18" s="28" t="s">
        <v>6</v>
      </c>
      <c r="C18" s="5" t="s">
        <v>117</v>
      </c>
      <c r="D18" s="5" t="s">
        <v>118</v>
      </c>
      <c r="E18" s="5" t="s">
        <v>119</v>
      </c>
      <c r="F18" s="14" t="s">
        <v>7</v>
      </c>
      <c r="G18" s="5"/>
      <c r="H18" s="5" t="s">
        <v>1154</v>
      </c>
      <c r="I18" s="5" t="s">
        <v>1153</v>
      </c>
    </row>
    <row r="19" spans="1:9" ht="127.5" x14ac:dyDescent="0.25">
      <c r="A19" s="22" t="s">
        <v>120</v>
      </c>
      <c r="B19" s="28" t="s">
        <v>6</v>
      </c>
      <c r="C19" s="8" t="s">
        <v>121</v>
      </c>
      <c r="D19" s="8" t="s">
        <v>122</v>
      </c>
      <c r="E19" s="8" t="s">
        <v>123</v>
      </c>
      <c r="F19" s="17" t="s">
        <v>42</v>
      </c>
      <c r="G19" s="8"/>
      <c r="H19" s="8" t="s">
        <v>1155</v>
      </c>
      <c r="I19" s="5" t="s">
        <v>1153</v>
      </c>
    </row>
    <row r="20" spans="1:9" ht="89.25" x14ac:dyDescent="0.25">
      <c r="A20" s="25" t="s">
        <v>124</v>
      </c>
      <c r="B20" s="28" t="s">
        <v>6</v>
      </c>
      <c r="C20" s="5" t="s">
        <v>125</v>
      </c>
      <c r="D20" s="5" t="s">
        <v>126</v>
      </c>
      <c r="E20" s="5" t="s">
        <v>127</v>
      </c>
      <c r="F20" s="14" t="s">
        <v>7</v>
      </c>
      <c r="G20" s="5"/>
      <c r="H20" s="5" t="s">
        <v>1156</v>
      </c>
      <c r="I20" s="5" t="s">
        <v>1153</v>
      </c>
    </row>
    <row r="21" spans="1:9" ht="89.25" x14ac:dyDescent="0.25">
      <c r="A21" s="22" t="s">
        <v>128</v>
      </c>
      <c r="B21" s="27" t="s">
        <v>5</v>
      </c>
      <c r="C21" s="8" t="s">
        <v>129</v>
      </c>
      <c r="D21" s="8" t="s">
        <v>130</v>
      </c>
      <c r="E21" s="8" t="s">
        <v>131</v>
      </c>
      <c r="F21" s="16" t="s">
        <v>8</v>
      </c>
      <c r="G21" s="8" t="s">
        <v>132</v>
      </c>
      <c r="H21" s="8" t="s">
        <v>1157</v>
      </c>
      <c r="I21" s="5" t="s">
        <v>1153</v>
      </c>
    </row>
    <row r="22" spans="1:9" ht="63.75" x14ac:dyDescent="0.25">
      <c r="A22" s="25" t="s">
        <v>133</v>
      </c>
      <c r="B22" s="28" t="s">
        <v>6</v>
      </c>
      <c r="C22" s="5" t="s">
        <v>134</v>
      </c>
      <c r="D22" s="5" t="s">
        <v>135</v>
      </c>
      <c r="E22" s="5" t="s">
        <v>136</v>
      </c>
      <c r="F22" s="14" t="s">
        <v>7</v>
      </c>
      <c r="G22" s="5"/>
      <c r="H22" s="5" t="s">
        <v>1158</v>
      </c>
      <c r="I22" s="5" t="s">
        <v>1153</v>
      </c>
    </row>
    <row r="24" spans="1:9" x14ac:dyDescent="0.25">
      <c r="A24" s="13" t="s">
        <v>137</v>
      </c>
    </row>
    <row r="25" spans="1:9" x14ac:dyDescent="0.25">
      <c r="A25" t="s">
        <v>138</v>
      </c>
      <c r="B25">
        <v>18</v>
      </c>
    </row>
    <row r="26" spans="1:9" x14ac:dyDescent="0.25">
      <c r="A26" t="s">
        <v>139</v>
      </c>
      <c r="B26">
        <f>COUNTIF(F5:F22,"PASS")</f>
        <v>8</v>
      </c>
    </row>
    <row r="27" spans="1:9" x14ac:dyDescent="0.25">
      <c r="A27" t="s">
        <v>140</v>
      </c>
      <c r="B27">
        <f>COUNTIF(F5:F22,"FAIL")</f>
        <v>6</v>
      </c>
    </row>
    <row r="28" spans="1:9" x14ac:dyDescent="0.25">
      <c r="A28" t="s">
        <v>141</v>
      </c>
      <c r="B28">
        <f>COUNTIF(F5:F22,"BLOCKED")</f>
        <v>4</v>
      </c>
    </row>
  </sheetData>
  <mergeCells count="2">
    <mergeCell ref="A1:J1"/>
    <mergeCell ref="A2:J2"/>
  </mergeCells>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A111E"/>
  </sheetPr>
  <dimension ref="A1:J32"/>
  <sheetViews>
    <sheetView topLeftCell="D22" zoomScaleNormal="100" workbookViewId="0">
      <selection activeCell="B30" sqref="B30"/>
    </sheetView>
  </sheetViews>
  <sheetFormatPr defaultColWidth="8.7109375" defaultRowHeight="15" x14ac:dyDescent="0.25"/>
  <cols>
    <col min="1" max="1" width="8" customWidth="1"/>
    <col min="2" max="2" width="12" customWidth="1"/>
    <col min="3" max="4" width="55" customWidth="1"/>
    <col min="5" max="5" width="50" customWidth="1"/>
    <col min="6" max="6" width="12" customWidth="1"/>
    <col min="7" max="7" width="18" customWidth="1"/>
    <col min="8" max="8" width="30" customWidth="1"/>
    <col min="9" max="9" width="18" customWidth="1"/>
  </cols>
  <sheetData>
    <row r="1" spans="1:10" ht="18" x14ac:dyDescent="0.25">
      <c r="A1" s="2" t="s">
        <v>142</v>
      </c>
      <c r="B1" s="2"/>
      <c r="C1" s="2"/>
      <c r="D1" s="2"/>
      <c r="E1" s="2"/>
      <c r="F1" s="2"/>
      <c r="G1" s="2"/>
      <c r="H1" s="2"/>
      <c r="I1" s="2"/>
      <c r="J1" s="2"/>
    </row>
    <row r="2" spans="1:10" x14ac:dyDescent="0.25">
      <c r="A2" s="1" t="s">
        <v>1159</v>
      </c>
      <c r="B2" s="1"/>
      <c r="C2" s="1"/>
      <c r="D2" s="1"/>
      <c r="E2" s="1"/>
      <c r="F2" s="1"/>
      <c r="G2" s="1"/>
      <c r="H2" s="1"/>
      <c r="I2" s="1"/>
      <c r="J2" s="1"/>
    </row>
    <row r="4" spans="1:10" x14ac:dyDescent="0.25">
      <c r="A4" s="3" t="s">
        <v>52</v>
      </c>
      <c r="B4" s="3" t="s">
        <v>53</v>
      </c>
      <c r="C4" s="3" t="s">
        <v>54</v>
      </c>
      <c r="D4" s="3" t="s">
        <v>55</v>
      </c>
      <c r="E4" s="3" t="s">
        <v>56</v>
      </c>
      <c r="F4" s="3" t="s">
        <v>57</v>
      </c>
      <c r="G4" s="3" t="s">
        <v>58</v>
      </c>
      <c r="H4" s="3" t="s">
        <v>59</v>
      </c>
      <c r="I4" s="3" t="s">
        <v>60</v>
      </c>
    </row>
    <row r="5" spans="1:10" ht="127.5" x14ac:dyDescent="0.25">
      <c r="A5" s="22" t="s">
        <v>143</v>
      </c>
      <c r="B5" s="23" t="s">
        <v>4</v>
      </c>
      <c r="C5" s="8" t="s">
        <v>144</v>
      </c>
      <c r="D5" s="8" t="s">
        <v>145</v>
      </c>
      <c r="E5" s="8" t="s">
        <v>146</v>
      </c>
      <c r="F5" s="16" t="s">
        <v>8</v>
      </c>
      <c r="G5" s="8"/>
      <c r="H5" s="8" t="s">
        <v>1160</v>
      </c>
      <c r="I5" s="30" t="s">
        <v>1153</v>
      </c>
    </row>
    <row r="6" spans="1:10" ht="63.75" x14ac:dyDescent="0.25">
      <c r="A6" s="25" t="s">
        <v>147</v>
      </c>
      <c r="B6" s="23" t="s">
        <v>4</v>
      </c>
      <c r="C6" s="5" t="s">
        <v>148</v>
      </c>
      <c r="D6" s="5" t="s">
        <v>149</v>
      </c>
      <c r="E6" s="5" t="s">
        <v>150</v>
      </c>
      <c r="F6" s="14" t="s">
        <v>7</v>
      </c>
      <c r="G6" s="5" t="s">
        <v>151</v>
      </c>
      <c r="H6" s="5" t="s">
        <v>1161</v>
      </c>
      <c r="I6" s="30" t="s">
        <v>1153</v>
      </c>
    </row>
    <row r="7" spans="1:10" ht="89.25" x14ac:dyDescent="0.25">
      <c r="A7" s="22" t="s">
        <v>152</v>
      </c>
      <c r="B7" s="23" t="s">
        <v>4</v>
      </c>
      <c r="C7" s="8" t="s">
        <v>153</v>
      </c>
      <c r="D7" s="8" t="s">
        <v>154</v>
      </c>
      <c r="E7" s="8" t="s">
        <v>155</v>
      </c>
      <c r="F7" s="14" t="s">
        <v>7</v>
      </c>
      <c r="G7" s="8" t="s">
        <v>151</v>
      </c>
      <c r="H7" s="8" t="s">
        <v>1162</v>
      </c>
      <c r="I7" s="30" t="s">
        <v>1153</v>
      </c>
    </row>
    <row r="8" spans="1:10" ht="140.25" x14ac:dyDescent="0.25">
      <c r="A8" s="25" t="s">
        <v>156</v>
      </c>
      <c r="B8" s="23" t="s">
        <v>4</v>
      </c>
      <c r="C8" s="5" t="s">
        <v>157</v>
      </c>
      <c r="D8" s="5" t="s">
        <v>158</v>
      </c>
      <c r="E8" s="5" t="s">
        <v>159</v>
      </c>
      <c r="F8" s="16" t="s">
        <v>8</v>
      </c>
      <c r="G8" s="5"/>
      <c r="H8" s="5" t="s">
        <v>1163</v>
      </c>
      <c r="I8" s="30" t="s">
        <v>1153</v>
      </c>
    </row>
    <row r="9" spans="1:10" ht="51" x14ac:dyDescent="0.25">
      <c r="A9" s="22" t="s">
        <v>160</v>
      </c>
      <c r="B9" s="23" t="s">
        <v>4</v>
      </c>
      <c r="C9" s="8" t="s">
        <v>161</v>
      </c>
      <c r="D9" s="8" t="s">
        <v>162</v>
      </c>
      <c r="E9" s="8" t="s">
        <v>163</v>
      </c>
      <c r="F9" s="14" t="s">
        <v>7</v>
      </c>
      <c r="G9" s="8"/>
      <c r="H9" s="30" t="s">
        <v>1164</v>
      </c>
      <c r="I9" s="30" t="s">
        <v>1153</v>
      </c>
    </row>
    <row r="10" spans="1:10" ht="38.25" x14ac:dyDescent="0.25">
      <c r="A10" s="25" t="s">
        <v>164</v>
      </c>
      <c r="B10" s="23" t="s">
        <v>4</v>
      </c>
      <c r="C10" s="5" t="s">
        <v>165</v>
      </c>
      <c r="D10" s="5" t="s">
        <v>166</v>
      </c>
      <c r="E10" s="5" t="s">
        <v>167</v>
      </c>
      <c r="F10" s="16" t="s">
        <v>8</v>
      </c>
      <c r="G10" s="5" t="s">
        <v>168</v>
      </c>
      <c r="H10" s="29" t="s">
        <v>1165</v>
      </c>
      <c r="I10" s="30" t="s">
        <v>1153</v>
      </c>
    </row>
    <row r="11" spans="1:10" ht="51" x14ac:dyDescent="0.25">
      <c r="A11" s="22" t="s">
        <v>169</v>
      </c>
      <c r="B11" s="23" t="s">
        <v>4</v>
      </c>
      <c r="C11" s="8" t="s">
        <v>170</v>
      </c>
      <c r="D11" s="8" t="s">
        <v>171</v>
      </c>
      <c r="E11" s="8" t="s">
        <v>172</v>
      </c>
      <c r="F11" s="14" t="s">
        <v>7</v>
      </c>
      <c r="G11" s="8" t="s">
        <v>168</v>
      </c>
      <c r="H11" s="8" t="s">
        <v>1166</v>
      </c>
      <c r="I11" s="30" t="s">
        <v>1153</v>
      </c>
    </row>
    <row r="12" spans="1:10" ht="63.75" x14ac:dyDescent="0.25">
      <c r="A12" s="25" t="s">
        <v>173</v>
      </c>
      <c r="B12" s="23" t="s">
        <v>4</v>
      </c>
      <c r="C12" s="5" t="s">
        <v>174</v>
      </c>
      <c r="D12" s="5" t="s">
        <v>175</v>
      </c>
      <c r="E12" s="29" t="s">
        <v>176</v>
      </c>
      <c r="F12" s="16" t="s">
        <v>8</v>
      </c>
      <c r="G12" s="5" t="s">
        <v>168</v>
      </c>
      <c r="H12" s="29" t="s">
        <v>1167</v>
      </c>
      <c r="I12" s="30" t="s">
        <v>1153</v>
      </c>
    </row>
    <row r="13" spans="1:10" ht="51" x14ac:dyDescent="0.25">
      <c r="A13" s="22" t="s">
        <v>177</v>
      </c>
      <c r="B13" s="23" t="s">
        <v>4</v>
      </c>
      <c r="C13" s="8" t="s">
        <v>178</v>
      </c>
      <c r="D13" s="8" t="s">
        <v>179</v>
      </c>
      <c r="E13" s="8" t="s">
        <v>180</v>
      </c>
      <c r="F13" s="31" t="s">
        <v>7</v>
      </c>
      <c r="G13" s="8" t="s">
        <v>168</v>
      </c>
      <c r="H13" s="30" t="s">
        <v>1168</v>
      </c>
      <c r="I13" s="30" t="s">
        <v>1153</v>
      </c>
    </row>
    <row r="14" spans="1:10" ht="51" x14ac:dyDescent="0.25">
      <c r="A14" s="25" t="s">
        <v>181</v>
      </c>
      <c r="B14" s="27" t="s">
        <v>5</v>
      </c>
      <c r="C14" s="5" t="s">
        <v>182</v>
      </c>
      <c r="D14" s="5" t="s">
        <v>183</v>
      </c>
      <c r="E14" s="5" t="s">
        <v>184</v>
      </c>
      <c r="F14" s="31" t="s">
        <v>7</v>
      </c>
      <c r="G14" s="5" t="s">
        <v>185</v>
      </c>
      <c r="H14" s="5" t="s">
        <v>1169</v>
      </c>
      <c r="I14" s="30" t="s">
        <v>1153</v>
      </c>
    </row>
    <row r="15" spans="1:10" ht="51" x14ac:dyDescent="0.25">
      <c r="A15" s="22" t="s">
        <v>186</v>
      </c>
      <c r="B15" s="27" t="s">
        <v>5</v>
      </c>
      <c r="C15" s="8" t="s">
        <v>187</v>
      </c>
      <c r="D15" s="8" t="s">
        <v>188</v>
      </c>
      <c r="E15" s="8" t="s">
        <v>189</v>
      </c>
      <c r="F15" s="14" t="s">
        <v>7</v>
      </c>
      <c r="G15" s="8" t="s">
        <v>185</v>
      </c>
      <c r="H15" s="30" t="s">
        <v>1170</v>
      </c>
      <c r="I15" s="30" t="s">
        <v>1153</v>
      </c>
    </row>
    <row r="16" spans="1:10" ht="51" x14ac:dyDescent="0.25">
      <c r="A16" s="25" t="s">
        <v>190</v>
      </c>
      <c r="B16" s="27" t="s">
        <v>5</v>
      </c>
      <c r="C16" s="5" t="s">
        <v>191</v>
      </c>
      <c r="D16" s="5" t="s">
        <v>192</v>
      </c>
      <c r="E16" s="5" t="s">
        <v>193</v>
      </c>
      <c r="F16" s="16" t="s">
        <v>8</v>
      </c>
      <c r="G16" s="5" t="s">
        <v>194</v>
      </c>
      <c r="H16" s="29" t="s">
        <v>1171</v>
      </c>
      <c r="I16" s="30" t="s">
        <v>1153</v>
      </c>
    </row>
    <row r="17" spans="1:9" ht="89.25" x14ac:dyDescent="0.25">
      <c r="A17" s="22" t="s">
        <v>195</v>
      </c>
      <c r="B17" s="23" t="s">
        <v>4</v>
      </c>
      <c r="C17" s="8" t="s">
        <v>196</v>
      </c>
      <c r="D17" s="8" t="s">
        <v>197</v>
      </c>
      <c r="E17" s="30" t="s">
        <v>198</v>
      </c>
      <c r="F17" s="16" t="s">
        <v>8</v>
      </c>
      <c r="G17" s="8" t="s">
        <v>194</v>
      </c>
      <c r="H17" s="8" t="s">
        <v>1172</v>
      </c>
      <c r="I17" s="30" t="s">
        <v>1153</v>
      </c>
    </row>
    <row r="18" spans="1:9" ht="38.25" x14ac:dyDescent="0.25">
      <c r="A18" s="25" t="s">
        <v>199</v>
      </c>
      <c r="B18" s="27" t="s">
        <v>5</v>
      </c>
      <c r="C18" s="5" t="s">
        <v>200</v>
      </c>
      <c r="D18" s="5" t="s">
        <v>201</v>
      </c>
      <c r="E18" s="29" t="s">
        <v>202</v>
      </c>
      <c r="F18" s="16" t="s">
        <v>8</v>
      </c>
      <c r="G18" s="5" t="s">
        <v>203</v>
      </c>
      <c r="H18" s="5" t="s">
        <v>1173</v>
      </c>
      <c r="I18" s="30" t="s">
        <v>1153</v>
      </c>
    </row>
    <row r="19" spans="1:9" ht="102" x14ac:dyDescent="0.25">
      <c r="A19" s="22" t="s">
        <v>204</v>
      </c>
      <c r="B19" s="23" t="s">
        <v>4</v>
      </c>
      <c r="C19" s="8" t="s">
        <v>205</v>
      </c>
      <c r="D19" s="8" t="s">
        <v>206</v>
      </c>
      <c r="E19" s="30" t="s">
        <v>207</v>
      </c>
      <c r="F19" s="16" t="s">
        <v>8</v>
      </c>
      <c r="G19" s="8" t="s">
        <v>208</v>
      </c>
      <c r="H19" s="30" t="s">
        <v>1174</v>
      </c>
      <c r="I19" s="30" t="s">
        <v>1153</v>
      </c>
    </row>
    <row r="20" spans="1:9" ht="89.25" x14ac:dyDescent="0.25">
      <c r="A20" s="25" t="s">
        <v>209</v>
      </c>
      <c r="B20" s="23" t="s">
        <v>4</v>
      </c>
      <c r="C20" s="5" t="s">
        <v>210</v>
      </c>
      <c r="D20" s="5" t="s">
        <v>211</v>
      </c>
      <c r="E20" s="5" t="s">
        <v>212</v>
      </c>
      <c r="F20" s="16" t="s">
        <v>8</v>
      </c>
      <c r="G20" s="5" t="s">
        <v>208</v>
      </c>
      <c r="H20" s="5" t="s">
        <v>1175</v>
      </c>
      <c r="I20" s="30" t="s">
        <v>1153</v>
      </c>
    </row>
    <row r="21" spans="1:9" ht="140.25" x14ac:dyDescent="0.25">
      <c r="A21" s="22" t="s">
        <v>213</v>
      </c>
      <c r="B21" s="27" t="s">
        <v>5</v>
      </c>
      <c r="C21" s="8" t="s">
        <v>214</v>
      </c>
      <c r="D21" s="8" t="s">
        <v>215</v>
      </c>
      <c r="E21" s="8" t="s">
        <v>216</v>
      </c>
      <c r="F21" s="16" t="s">
        <v>8</v>
      </c>
      <c r="G21" s="8"/>
      <c r="H21" s="30" t="s">
        <v>1176</v>
      </c>
      <c r="I21" s="30" t="s">
        <v>1153</v>
      </c>
    </row>
    <row r="22" spans="1:9" ht="63.75" x14ac:dyDescent="0.25">
      <c r="A22" s="25" t="s">
        <v>217</v>
      </c>
      <c r="B22" s="27" t="s">
        <v>5</v>
      </c>
      <c r="C22" s="5" t="s">
        <v>218</v>
      </c>
      <c r="D22" s="5" t="s">
        <v>219</v>
      </c>
      <c r="E22" s="5" t="s">
        <v>220</v>
      </c>
      <c r="F22" s="14" t="s">
        <v>7</v>
      </c>
      <c r="G22" s="5" t="s">
        <v>221</v>
      </c>
      <c r="H22" s="5" t="s">
        <v>1177</v>
      </c>
      <c r="I22" s="30" t="s">
        <v>1153</v>
      </c>
    </row>
    <row r="23" spans="1:9" ht="38.25" x14ac:dyDescent="0.25">
      <c r="A23" s="22" t="s">
        <v>222</v>
      </c>
      <c r="B23" s="27" t="s">
        <v>5</v>
      </c>
      <c r="C23" s="8" t="s">
        <v>223</v>
      </c>
      <c r="D23" s="8" t="s">
        <v>224</v>
      </c>
      <c r="E23" s="30" t="s">
        <v>225</v>
      </c>
      <c r="F23" s="14" t="s">
        <v>7</v>
      </c>
      <c r="G23" s="8" t="s">
        <v>221</v>
      </c>
      <c r="H23" s="8" t="s">
        <v>1178</v>
      </c>
      <c r="I23" s="30" t="s">
        <v>1153</v>
      </c>
    </row>
    <row r="24" spans="1:9" ht="63.75" x14ac:dyDescent="0.25">
      <c r="A24" s="25" t="s">
        <v>226</v>
      </c>
      <c r="B24" s="28" t="s">
        <v>6</v>
      </c>
      <c r="C24" s="5" t="s">
        <v>227</v>
      </c>
      <c r="D24" s="5" t="s">
        <v>228</v>
      </c>
      <c r="E24" s="5" t="s">
        <v>229</v>
      </c>
      <c r="F24" s="14" t="s">
        <v>7</v>
      </c>
      <c r="G24" s="5" t="s">
        <v>230</v>
      </c>
      <c r="H24" s="5" t="s">
        <v>1179</v>
      </c>
      <c r="I24" s="30" t="s">
        <v>1153</v>
      </c>
    </row>
    <row r="25" spans="1:9" ht="63.75" x14ac:dyDescent="0.25">
      <c r="A25" s="22" t="s">
        <v>231</v>
      </c>
      <c r="B25" s="28" t="s">
        <v>6</v>
      </c>
      <c r="C25" s="8" t="s">
        <v>232</v>
      </c>
      <c r="D25" s="8" t="s">
        <v>233</v>
      </c>
      <c r="E25" s="8" t="s">
        <v>234</v>
      </c>
      <c r="F25" s="14" t="s">
        <v>7</v>
      </c>
      <c r="G25" s="8" t="s">
        <v>203</v>
      </c>
      <c r="H25" s="8" t="s">
        <v>1180</v>
      </c>
      <c r="I25" s="30" t="s">
        <v>1153</v>
      </c>
    </row>
    <row r="26" spans="1:9" ht="51" x14ac:dyDescent="0.25">
      <c r="A26" s="25" t="s">
        <v>235</v>
      </c>
      <c r="B26" s="28" t="s">
        <v>6</v>
      </c>
      <c r="C26" s="5" t="s">
        <v>236</v>
      </c>
      <c r="D26" s="5" t="s">
        <v>237</v>
      </c>
      <c r="E26" s="5" t="s">
        <v>238</v>
      </c>
      <c r="F26" s="17" t="s">
        <v>42</v>
      </c>
      <c r="G26" s="5"/>
      <c r="H26" s="5" t="s">
        <v>1181</v>
      </c>
      <c r="I26" s="30" t="s">
        <v>1153</v>
      </c>
    </row>
    <row r="28" spans="1:9" x14ac:dyDescent="0.25">
      <c r="A28" s="13" t="s">
        <v>137</v>
      </c>
    </row>
    <row r="29" spans="1:9" x14ac:dyDescent="0.25">
      <c r="A29" t="s">
        <v>138</v>
      </c>
      <c r="B29">
        <v>22</v>
      </c>
    </row>
    <row r="30" spans="1:9" x14ac:dyDescent="0.25">
      <c r="A30" t="s">
        <v>139</v>
      </c>
      <c r="B30">
        <f>COUNTIF(F5:F26,"PASS")</f>
        <v>11</v>
      </c>
    </row>
    <row r="31" spans="1:9" x14ac:dyDescent="0.25">
      <c r="A31" t="s">
        <v>140</v>
      </c>
      <c r="B31">
        <f>COUNTIF(F5:F26,"FAIL")</f>
        <v>10</v>
      </c>
    </row>
    <row r="32" spans="1:9" x14ac:dyDescent="0.25">
      <c r="A32" t="s">
        <v>141</v>
      </c>
      <c r="B32">
        <f>COUNTIF(F5:F26,"BLOCKED")</f>
        <v>1</v>
      </c>
    </row>
  </sheetData>
  <mergeCells count="2">
    <mergeCell ref="A1:J1"/>
    <mergeCell ref="A2:J2"/>
  </mergeCells>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A111E"/>
  </sheetPr>
  <dimension ref="A1:J26"/>
  <sheetViews>
    <sheetView tabSelected="1" topLeftCell="D12" zoomScaleNormal="100" workbookViewId="0">
      <selection activeCell="I18" sqref="I18"/>
    </sheetView>
  </sheetViews>
  <sheetFormatPr defaultColWidth="8.7109375" defaultRowHeight="15" x14ac:dyDescent="0.25"/>
  <cols>
    <col min="1" max="1" width="8" customWidth="1"/>
    <col min="2" max="2" width="12" customWidth="1"/>
    <col min="3" max="4" width="55" customWidth="1"/>
    <col min="5" max="5" width="50" customWidth="1"/>
    <col min="6" max="6" width="12" customWidth="1"/>
    <col min="7" max="7" width="18" customWidth="1"/>
    <col min="8" max="8" width="30" customWidth="1"/>
    <col min="9" max="9" width="18" customWidth="1"/>
  </cols>
  <sheetData>
    <row r="1" spans="1:10" ht="18" x14ac:dyDescent="0.25">
      <c r="A1" s="2" t="s">
        <v>239</v>
      </c>
      <c r="B1" s="2"/>
      <c r="C1" s="2"/>
      <c r="D1" s="2"/>
      <c r="E1" s="2"/>
      <c r="F1" s="2"/>
      <c r="G1" s="2"/>
      <c r="H1" s="2"/>
      <c r="I1" s="2"/>
      <c r="J1" s="2"/>
    </row>
    <row r="2" spans="1:10" x14ac:dyDescent="0.25">
      <c r="A2" s="32" t="s">
        <v>1182</v>
      </c>
      <c r="B2" s="1"/>
      <c r="C2" s="1"/>
      <c r="D2" s="1"/>
      <c r="E2" s="1"/>
      <c r="F2" s="1"/>
      <c r="G2" s="1"/>
      <c r="H2" s="1"/>
      <c r="I2" s="1"/>
      <c r="J2" s="1"/>
    </row>
    <row r="4" spans="1:10" x14ac:dyDescent="0.25">
      <c r="A4" s="3" t="s">
        <v>52</v>
      </c>
      <c r="B4" s="3" t="s">
        <v>53</v>
      </c>
      <c r="C4" s="3" t="s">
        <v>54</v>
      </c>
      <c r="D4" s="3" t="s">
        <v>55</v>
      </c>
      <c r="E4" s="3" t="s">
        <v>56</v>
      </c>
      <c r="F4" s="3" t="s">
        <v>57</v>
      </c>
      <c r="G4" s="3" t="s">
        <v>58</v>
      </c>
      <c r="H4" s="3" t="s">
        <v>59</v>
      </c>
      <c r="I4" s="3" t="s">
        <v>60</v>
      </c>
    </row>
    <row r="5" spans="1:10" ht="63.75" x14ac:dyDescent="0.25">
      <c r="A5" s="22" t="s">
        <v>240</v>
      </c>
      <c r="B5" s="23" t="s">
        <v>4</v>
      </c>
      <c r="C5" s="8" t="s">
        <v>241</v>
      </c>
      <c r="D5" s="8" t="s">
        <v>242</v>
      </c>
      <c r="E5" s="8" t="s">
        <v>243</v>
      </c>
      <c r="F5" s="16" t="s">
        <v>8</v>
      </c>
      <c r="G5" s="8" t="s">
        <v>244</v>
      </c>
      <c r="H5" s="8" t="s">
        <v>1183</v>
      </c>
      <c r="I5" s="8" t="s">
        <v>1153</v>
      </c>
    </row>
    <row r="6" spans="1:10" ht="25.5" x14ac:dyDescent="0.25">
      <c r="A6" s="25" t="s">
        <v>245</v>
      </c>
      <c r="B6" s="27" t="s">
        <v>5</v>
      </c>
      <c r="C6" s="5" t="s">
        <v>246</v>
      </c>
      <c r="D6" s="5" t="s">
        <v>247</v>
      </c>
      <c r="E6" s="5" t="s">
        <v>248</v>
      </c>
      <c r="F6" s="16" t="s">
        <v>8</v>
      </c>
      <c r="G6" s="5"/>
      <c r="H6" s="29" t="s">
        <v>1184</v>
      </c>
      <c r="I6" s="8" t="s">
        <v>1153</v>
      </c>
    </row>
    <row r="7" spans="1:10" ht="38.25" x14ac:dyDescent="0.25">
      <c r="A7" s="22" t="s">
        <v>249</v>
      </c>
      <c r="B7" s="27" t="s">
        <v>5</v>
      </c>
      <c r="C7" s="8" t="s">
        <v>250</v>
      </c>
      <c r="D7" s="8" t="s">
        <v>251</v>
      </c>
      <c r="E7" s="8" t="s">
        <v>252</v>
      </c>
      <c r="F7" s="33" t="s">
        <v>8</v>
      </c>
      <c r="G7" s="8"/>
      <c r="H7" s="8" t="s">
        <v>1185</v>
      </c>
      <c r="I7" s="8" t="s">
        <v>1153</v>
      </c>
    </row>
    <row r="8" spans="1:10" ht="51" x14ac:dyDescent="0.25">
      <c r="A8" s="25" t="s">
        <v>253</v>
      </c>
      <c r="B8" s="27" t="s">
        <v>5</v>
      </c>
      <c r="C8" s="5" t="s">
        <v>254</v>
      </c>
      <c r="D8" s="5" t="s">
        <v>255</v>
      </c>
      <c r="E8" s="5" t="s">
        <v>256</v>
      </c>
      <c r="F8" s="16" t="s">
        <v>8</v>
      </c>
      <c r="G8" s="5" t="s">
        <v>244</v>
      </c>
      <c r="H8" s="29" t="s">
        <v>1186</v>
      </c>
      <c r="I8" s="8" t="s">
        <v>1153</v>
      </c>
    </row>
    <row r="9" spans="1:10" ht="25.5" x14ac:dyDescent="0.25">
      <c r="A9" s="22" t="s">
        <v>257</v>
      </c>
      <c r="B9" s="27" t="s">
        <v>5</v>
      </c>
      <c r="C9" s="8" t="s">
        <v>258</v>
      </c>
      <c r="D9" s="8" t="s">
        <v>259</v>
      </c>
      <c r="E9" s="8" t="s">
        <v>260</v>
      </c>
      <c r="F9" s="16" t="s">
        <v>8</v>
      </c>
      <c r="G9" s="8" t="s">
        <v>261</v>
      </c>
      <c r="H9" s="29" t="s">
        <v>1187</v>
      </c>
      <c r="I9" s="8" t="s">
        <v>1153</v>
      </c>
    </row>
    <row r="10" spans="1:10" ht="63.75" x14ac:dyDescent="0.25">
      <c r="A10" s="25" t="s">
        <v>262</v>
      </c>
      <c r="B10" s="27" t="s">
        <v>5</v>
      </c>
      <c r="C10" s="5" t="s">
        <v>263</v>
      </c>
      <c r="D10" s="5" t="s">
        <v>264</v>
      </c>
      <c r="E10" s="29" t="s">
        <v>265</v>
      </c>
      <c r="F10" s="16" t="s">
        <v>8</v>
      </c>
      <c r="G10" s="5" t="s">
        <v>261</v>
      </c>
      <c r="H10" s="5" t="s">
        <v>1188</v>
      </c>
      <c r="I10" s="8" t="s">
        <v>1153</v>
      </c>
    </row>
    <row r="11" spans="1:10" ht="25.5" x14ac:dyDescent="0.25">
      <c r="A11" s="22" t="s">
        <v>266</v>
      </c>
      <c r="B11" s="27" t="s">
        <v>5</v>
      </c>
      <c r="C11" s="8" t="s">
        <v>267</v>
      </c>
      <c r="D11" s="8" t="s">
        <v>268</v>
      </c>
      <c r="E11" s="8" t="s">
        <v>269</v>
      </c>
      <c r="F11" s="16" t="s">
        <v>8</v>
      </c>
      <c r="G11" s="8" t="s">
        <v>261</v>
      </c>
      <c r="H11" s="30" t="s">
        <v>1189</v>
      </c>
      <c r="I11" s="8" t="s">
        <v>1153</v>
      </c>
    </row>
    <row r="12" spans="1:10" ht="25.5" x14ac:dyDescent="0.25">
      <c r="A12" s="25" t="s">
        <v>270</v>
      </c>
      <c r="B12" s="27" t="s">
        <v>5</v>
      </c>
      <c r="C12" s="5" t="s">
        <v>271</v>
      </c>
      <c r="D12" s="5" t="s">
        <v>272</v>
      </c>
      <c r="E12" s="5" t="s">
        <v>273</v>
      </c>
      <c r="F12" s="16" t="s">
        <v>8</v>
      </c>
      <c r="G12" s="5" t="s">
        <v>261</v>
      </c>
      <c r="H12" s="29" t="s">
        <v>1189</v>
      </c>
      <c r="I12" s="8" t="s">
        <v>1153</v>
      </c>
    </row>
    <row r="13" spans="1:10" ht="25.5" x14ac:dyDescent="0.25">
      <c r="A13" s="22" t="s">
        <v>274</v>
      </c>
      <c r="B13" s="28" t="s">
        <v>6</v>
      </c>
      <c r="C13" s="8" t="s">
        <v>275</v>
      </c>
      <c r="D13" s="8" t="s">
        <v>276</v>
      </c>
      <c r="E13" s="8" t="s">
        <v>277</v>
      </c>
      <c r="F13" s="16" t="s">
        <v>8</v>
      </c>
      <c r="G13" s="8" t="s">
        <v>151</v>
      </c>
      <c r="H13" s="30" t="s">
        <v>1189</v>
      </c>
      <c r="I13" s="8" t="s">
        <v>1153</v>
      </c>
    </row>
    <row r="14" spans="1:10" ht="25.5" x14ac:dyDescent="0.25">
      <c r="A14" s="25" t="s">
        <v>278</v>
      </c>
      <c r="B14" s="28" t="s">
        <v>6</v>
      </c>
      <c r="C14" s="5" t="s">
        <v>279</v>
      </c>
      <c r="D14" s="5" t="s">
        <v>280</v>
      </c>
      <c r="E14" s="5" t="s">
        <v>281</v>
      </c>
      <c r="F14" s="16" t="s">
        <v>8</v>
      </c>
      <c r="G14" s="5"/>
      <c r="H14" s="30" t="s">
        <v>1189</v>
      </c>
      <c r="I14" s="8" t="s">
        <v>1153</v>
      </c>
    </row>
    <row r="15" spans="1:10" ht="25.5" x14ac:dyDescent="0.25">
      <c r="A15" s="22" t="s">
        <v>282</v>
      </c>
      <c r="B15" s="28" t="s">
        <v>6</v>
      </c>
      <c r="C15" s="8" t="s">
        <v>283</v>
      </c>
      <c r="D15" s="8" t="s">
        <v>284</v>
      </c>
      <c r="E15" s="8" t="s">
        <v>285</v>
      </c>
      <c r="F15" s="16" t="s">
        <v>8</v>
      </c>
      <c r="G15" s="8"/>
      <c r="H15" s="30" t="s">
        <v>1189</v>
      </c>
      <c r="I15" s="8" t="s">
        <v>1153</v>
      </c>
    </row>
    <row r="16" spans="1:10" ht="25.5" x14ac:dyDescent="0.25">
      <c r="A16" s="25" t="s">
        <v>286</v>
      </c>
      <c r="B16" s="28" t="s">
        <v>6</v>
      </c>
      <c r="C16" s="5" t="s">
        <v>287</v>
      </c>
      <c r="D16" s="5" t="s">
        <v>288</v>
      </c>
      <c r="E16" s="5" t="s">
        <v>289</v>
      </c>
      <c r="F16" s="16" t="s">
        <v>8</v>
      </c>
      <c r="G16" s="5"/>
      <c r="H16" s="30" t="s">
        <v>1189</v>
      </c>
      <c r="I16" s="8" t="s">
        <v>1153</v>
      </c>
    </row>
    <row r="17" spans="1:9" ht="25.5" x14ac:dyDescent="0.25">
      <c r="A17" s="22" t="s">
        <v>290</v>
      </c>
      <c r="B17" s="27" t="s">
        <v>5</v>
      </c>
      <c r="C17" s="8" t="s">
        <v>291</v>
      </c>
      <c r="D17" s="8" t="s">
        <v>292</v>
      </c>
      <c r="E17" s="8" t="s">
        <v>293</v>
      </c>
      <c r="F17" s="17" t="s">
        <v>42</v>
      </c>
      <c r="G17" s="8" t="s">
        <v>261</v>
      </c>
      <c r="H17" s="30" t="s">
        <v>1190</v>
      </c>
      <c r="I17" s="8" t="s">
        <v>1153</v>
      </c>
    </row>
    <row r="18" spans="1:9" ht="25.5" x14ac:dyDescent="0.25">
      <c r="A18" s="25" t="s">
        <v>294</v>
      </c>
      <c r="B18" s="28" t="s">
        <v>6</v>
      </c>
      <c r="C18" s="5" t="s">
        <v>295</v>
      </c>
      <c r="D18" s="5" t="s">
        <v>296</v>
      </c>
      <c r="E18" s="5" t="s">
        <v>297</v>
      </c>
      <c r="F18" s="26"/>
      <c r="G18" s="5"/>
      <c r="H18" s="5"/>
      <c r="I18" s="5"/>
    </row>
    <row r="19" spans="1:9" ht="25.5" x14ac:dyDescent="0.25">
      <c r="A19" s="22" t="s">
        <v>298</v>
      </c>
      <c r="B19" s="28" t="s">
        <v>6</v>
      </c>
      <c r="C19" s="8" t="s">
        <v>299</v>
      </c>
      <c r="D19" s="8" t="s">
        <v>300</v>
      </c>
      <c r="E19" s="8" t="s">
        <v>301</v>
      </c>
      <c r="F19" s="14" t="s">
        <v>7</v>
      </c>
      <c r="G19" s="8"/>
      <c r="H19" s="8" t="s">
        <v>1191</v>
      </c>
      <c r="I19" s="8" t="s">
        <v>1153</v>
      </c>
    </row>
    <row r="20" spans="1:9" ht="89.25" x14ac:dyDescent="0.25">
      <c r="A20" s="25" t="s">
        <v>302</v>
      </c>
      <c r="B20" s="28" t="s">
        <v>6</v>
      </c>
      <c r="C20" s="5" t="s">
        <v>303</v>
      </c>
      <c r="D20" s="5" t="s">
        <v>304</v>
      </c>
      <c r="E20" s="5" t="s">
        <v>305</v>
      </c>
      <c r="F20" s="16" t="s">
        <v>8</v>
      </c>
      <c r="G20" s="5"/>
      <c r="H20" s="5" t="s">
        <v>1192</v>
      </c>
      <c r="I20" s="34">
        <v>46026</v>
      </c>
    </row>
    <row r="22" spans="1:9" x14ac:dyDescent="0.25">
      <c r="A22" s="13" t="s">
        <v>137</v>
      </c>
    </row>
    <row r="23" spans="1:9" x14ac:dyDescent="0.25">
      <c r="A23" t="s">
        <v>138</v>
      </c>
      <c r="B23">
        <v>16</v>
      </c>
    </row>
    <row r="24" spans="1:9" x14ac:dyDescent="0.25">
      <c r="A24" t="s">
        <v>139</v>
      </c>
      <c r="B24">
        <f>COUNTIF(F5:F20,"PASS")</f>
        <v>1</v>
      </c>
    </row>
    <row r="25" spans="1:9" x14ac:dyDescent="0.25">
      <c r="A25" t="s">
        <v>140</v>
      </c>
      <c r="B25">
        <f>COUNTIF(F5:F20,"FAIL")</f>
        <v>13</v>
      </c>
    </row>
    <row r="26" spans="1:9" x14ac:dyDescent="0.25">
      <c r="A26" t="s">
        <v>141</v>
      </c>
      <c r="B26">
        <f>COUNTIF(F5:F20,"BLOCKED")</f>
        <v>1</v>
      </c>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A111E"/>
  </sheetPr>
  <dimension ref="A1:J30"/>
  <sheetViews>
    <sheetView topLeftCell="A16" zoomScaleNormal="100" workbookViewId="0">
      <selection activeCell="D36" sqref="D36"/>
    </sheetView>
  </sheetViews>
  <sheetFormatPr defaultColWidth="8.7109375" defaultRowHeight="15" x14ac:dyDescent="0.25"/>
  <cols>
    <col min="1" max="1" width="8" customWidth="1"/>
    <col min="2" max="2" width="12" customWidth="1"/>
    <col min="3" max="4" width="55" customWidth="1"/>
    <col min="5" max="5" width="50" customWidth="1"/>
    <col min="6" max="6" width="12" customWidth="1"/>
    <col min="7" max="7" width="18" customWidth="1"/>
    <col min="8" max="8" width="30" customWidth="1"/>
    <col min="9" max="9" width="18" customWidth="1"/>
  </cols>
  <sheetData>
    <row r="1" spans="1:10" ht="18" x14ac:dyDescent="0.25">
      <c r="A1" s="2" t="s">
        <v>306</v>
      </c>
      <c r="B1" s="2"/>
      <c r="C1" s="2"/>
      <c r="D1" s="2"/>
      <c r="E1" s="2"/>
      <c r="F1" s="2"/>
      <c r="G1" s="2"/>
      <c r="H1" s="2"/>
      <c r="I1" s="2"/>
      <c r="J1" s="2"/>
    </row>
    <row r="2" spans="1:10" x14ac:dyDescent="0.25">
      <c r="A2" s="1" t="s">
        <v>51</v>
      </c>
      <c r="B2" s="1"/>
      <c r="C2" s="1"/>
      <c r="D2" s="1"/>
      <c r="E2" s="1"/>
      <c r="F2" s="1"/>
      <c r="G2" s="1"/>
      <c r="H2" s="1"/>
      <c r="I2" s="1"/>
      <c r="J2" s="1"/>
    </row>
    <row r="4" spans="1:10" x14ac:dyDescent="0.25">
      <c r="A4" s="3" t="s">
        <v>52</v>
      </c>
      <c r="B4" s="3" t="s">
        <v>53</v>
      </c>
      <c r="C4" s="3" t="s">
        <v>54</v>
      </c>
      <c r="D4" s="3" t="s">
        <v>55</v>
      </c>
      <c r="E4" s="3" t="s">
        <v>56</v>
      </c>
      <c r="F4" s="3" t="s">
        <v>57</v>
      </c>
      <c r="G4" s="3" t="s">
        <v>58</v>
      </c>
      <c r="H4" s="3" t="s">
        <v>59</v>
      </c>
      <c r="I4" s="3" t="s">
        <v>60</v>
      </c>
    </row>
    <row r="5" spans="1:10" ht="127.5" x14ac:dyDescent="0.25">
      <c r="A5" s="22" t="s">
        <v>307</v>
      </c>
      <c r="B5" s="23" t="s">
        <v>4</v>
      </c>
      <c r="C5" s="8" t="s">
        <v>308</v>
      </c>
      <c r="D5" s="8" t="s">
        <v>309</v>
      </c>
      <c r="E5" s="8" t="s">
        <v>310</v>
      </c>
      <c r="F5" s="16" t="s">
        <v>8</v>
      </c>
      <c r="G5" s="8"/>
      <c r="H5" s="8" t="s">
        <v>1193</v>
      </c>
      <c r="I5" s="35">
        <v>46026</v>
      </c>
    </row>
    <row r="6" spans="1:10" ht="153" x14ac:dyDescent="0.25">
      <c r="A6" s="25" t="s">
        <v>311</v>
      </c>
      <c r="B6" s="23" t="s">
        <v>4</v>
      </c>
      <c r="C6" s="5" t="s">
        <v>312</v>
      </c>
      <c r="D6" s="5" t="s">
        <v>313</v>
      </c>
      <c r="E6" s="5" t="s">
        <v>314</v>
      </c>
      <c r="F6" s="16" t="s">
        <v>8</v>
      </c>
      <c r="G6" s="5"/>
      <c r="H6" s="29" t="s">
        <v>1194</v>
      </c>
      <c r="I6" s="35">
        <v>46026</v>
      </c>
    </row>
    <row r="7" spans="1:10" ht="114.75" x14ac:dyDescent="0.25">
      <c r="A7" s="22" t="s">
        <v>315</v>
      </c>
      <c r="B7" s="27" t="s">
        <v>5</v>
      </c>
      <c r="C7" s="8" t="s">
        <v>316</v>
      </c>
      <c r="D7" s="8" t="s">
        <v>317</v>
      </c>
      <c r="E7" s="30" t="s">
        <v>318</v>
      </c>
      <c r="F7" s="16" t="s">
        <v>8</v>
      </c>
      <c r="G7" s="8"/>
      <c r="H7" s="8" t="s">
        <v>1195</v>
      </c>
      <c r="I7" s="35">
        <v>46026</v>
      </c>
    </row>
    <row r="8" spans="1:10" ht="63.75" x14ac:dyDescent="0.25">
      <c r="A8" s="25" t="s">
        <v>319</v>
      </c>
      <c r="B8" s="27" t="s">
        <v>5</v>
      </c>
      <c r="C8" s="5" t="s">
        <v>320</v>
      </c>
      <c r="D8" s="5" t="s">
        <v>321</v>
      </c>
      <c r="E8" s="29" t="s">
        <v>322</v>
      </c>
      <c r="F8" s="16" t="s">
        <v>8</v>
      </c>
      <c r="G8" s="5"/>
      <c r="H8" s="29" t="s">
        <v>1196</v>
      </c>
      <c r="I8" s="35">
        <v>46026</v>
      </c>
    </row>
    <row r="9" spans="1:10" ht="76.5" x14ac:dyDescent="0.25">
      <c r="A9" s="22" t="s">
        <v>323</v>
      </c>
      <c r="B9" s="27" t="s">
        <v>5</v>
      </c>
      <c r="C9" s="8" t="s">
        <v>324</v>
      </c>
      <c r="D9" s="8" t="s">
        <v>325</v>
      </c>
      <c r="E9" s="8" t="s">
        <v>326</v>
      </c>
      <c r="F9" s="16" t="s">
        <v>8</v>
      </c>
      <c r="G9" s="8"/>
      <c r="H9" s="8" t="s">
        <v>1197</v>
      </c>
      <c r="I9" s="35">
        <v>46026</v>
      </c>
    </row>
    <row r="10" spans="1:10" ht="51" x14ac:dyDescent="0.25">
      <c r="A10" s="25" t="s">
        <v>327</v>
      </c>
      <c r="B10" s="27" t="s">
        <v>5</v>
      </c>
      <c r="C10" s="5" t="s">
        <v>328</v>
      </c>
      <c r="D10" s="5" t="s">
        <v>329</v>
      </c>
      <c r="E10" s="5" t="s">
        <v>330</v>
      </c>
      <c r="F10" s="31" t="s">
        <v>7</v>
      </c>
      <c r="G10" s="5"/>
      <c r="H10" s="29" t="s">
        <v>1198</v>
      </c>
      <c r="I10" s="35">
        <v>46026</v>
      </c>
    </row>
    <row r="11" spans="1:10" ht="38.25" x14ac:dyDescent="0.25">
      <c r="A11" s="22" t="s">
        <v>331</v>
      </c>
      <c r="B11" s="23" t="s">
        <v>4</v>
      </c>
      <c r="C11" s="8" t="s">
        <v>332</v>
      </c>
      <c r="D11" s="8" t="s">
        <v>333</v>
      </c>
      <c r="E11" s="30" t="s">
        <v>334</v>
      </c>
      <c r="F11" s="16" t="s">
        <v>8</v>
      </c>
      <c r="G11" s="8" t="s">
        <v>335</v>
      </c>
      <c r="H11" s="8" t="s">
        <v>1199</v>
      </c>
      <c r="I11" s="35">
        <v>46026</v>
      </c>
    </row>
    <row r="12" spans="1:10" ht="25.5" x14ac:dyDescent="0.25">
      <c r="A12" s="25" t="s">
        <v>336</v>
      </c>
      <c r="B12" s="23" t="s">
        <v>4</v>
      </c>
      <c r="C12" s="5" t="s">
        <v>337</v>
      </c>
      <c r="D12" s="5" t="s">
        <v>338</v>
      </c>
      <c r="E12" s="5" t="s">
        <v>339</v>
      </c>
      <c r="F12" s="17" t="s">
        <v>42</v>
      </c>
      <c r="G12" s="5" t="s">
        <v>340</v>
      </c>
      <c r="H12" s="29" t="s">
        <v>1203</v>
      </c>
      <c r="I12" s="35">
        <v>46026</v>
      </c>
    </row>
    <row r="13" spans="1:10" ht="38.25" x14ac:dyDescent="0.25">
      <c r="A13" s="22" t="s">
        <v>341</v>
      </c>
      <c r="B13" s="23" t="s">
        <v>4</v>
      </c>
      <c r="C13" s="8" t="s">
        <v>342</v>
      </c>
      <c r="D13" s="8" t="s">
        <v>343</v>
      </c>
      <c r="E13" s="30" t="s">
        <v>344</v>
      </c>
      <c r="F13" s="17" t="s">
        <v>42</v>
      </c>
      <c r="G13" s="8" t="s">
        <v>340</v>
      </c>
      <c r="H13" s="8" t="s">
        <v>1200</v>
      </c>
      <c r="I13" s="35">
        <v>46026</v>
      </c>
    </row>
    <row r="14" spans="1:10" ht="38.25" x14ac:dyDescent="0.25">
      <c r="A14" s="25" t="s">
        <v>345</v>
      </c>
      <c r="B14" s="23" t="s">
        <v>4</v>
      </c>
      <c r="C14" s="5" t="s">
        <v>346</v>
      </c>
      <c r="D14" s="5" t="s">
        <v>347</v>
      </c>
      <c r="E14" s="5" t="s">
        <v>348</v>
      </c>
      <c r="F14" s="17" t="s">
        <v>42</v>
      </c>
      <c r="G14" s="5" t="s">
        <v>340</v>
      </c>
      <c r="H14" s="29" t="s">
        <v>1201</v>
      </c>
      <c r="I14" s="35">
        <v>46026</v>
      </c>
    </row>
    <row r="15" spans="1:10" ht="25.5" x14ac:dyDescent="0.25">
      <c r="A15" s="22" t="s">
        <v>349</v>
      </c>
      <c r="B15" s="27" t="s">
        <v>5</v>
      </c>
      <c r="C15" s="8" t="s">
        <v>350</v>
      </c>
      <c r="D15" s="8" t="s">
        <v>351</v>
      </c>
      <c r="E15" s="8" t="s">
        <v>352</v>
      </c>
      <c r="F15" s="17" t="s">
        <v>42</v>
      </c>
      <c r="G15" s="8" t="s">
        <v>340</v>
      </c>
      <c r="H15" s="8" t="s">
        <v>1202</v>
      </c>
      <c r="I15" s="35">
        <v>46026</v>
      </c>
    </row>
    <row r="16" spans="1:10" ht="25.5" x14ac:dyDescent="0.25">
      <c r="A16" s="25" t="s">
        <v>353</v>
      </c>
      <c r="B16" s="27" t="s">
        <v>5</v>
      </c>
      <c r="C16" s="5" t="s">
        <v>354</v>
      </c>
      <c r="D16" s="5" t="s">
        <v>355</v>
      </c>
      <c r="E16" s="5" t="s">
        <v>356</v>
      </c>
      <c r="F16" s="17" t="s">
        <v>42</v>
      </c>
      <c r="G16" s="5" t="s">
        <v>340</v>
      </c>
      <c r="H16" s="5" t="s">
        <v>1204</v>
      </c>
      <c r="I16" s="35">
        <v>46026</v>
      </c>
    </row>
    <row r="17" spans="1:9" ht="25.5" x14ac:dyDescent="0.25">
      <c r="A17" s="22" t="s">
        <v>357</v>
      </c>
      <c r="B17" s="27" t="s">
        <v>5</v>
      </c>
      <c r="C17" s="8" t="s">
        <v>358</v>
      </c>
      <c r="D17" s="8" t="s">
        <v>359</v>
      </c>
      <c r="E17" s="8" t="s">
        <v>360</v>
      </c>
      <c r="F17" s="17" t="s">
        <v>42</v>
      </c>
      <c r="G17" s="8" t="s">
        <v>361</v>
      </c>
      <c r="H17" s="30" t="s">
        <v>1205</v>
      </c>
      <c r="I17" s="35">
        <v>46026</v>
      </c>
    </row>
    <row r="18" spans="1:9" ht="63.75" x14ac:dyDescent="0.25">
      <c r="A18" s="25" t="s">
        <v>362</v>
      </c>
      <c r="B18" s="28" t="s">
        <v>6</v>
      </c>
      <c r="C18" s="5" t="s">
        <v>363</v>
      </c>
      <c r="D18" s="5" t="s">
        <v>364</v>
      </c>
      <c r="E18" s="5" t="s">
        <v>365</v>
      </c>
      <c r="F18" s="16" t="s">
        <v>8</v>
      </c>
      <c r="G18" s="5" t="s">
        <v>194</v>
      </c>
      <c r="H18" s="29" t="s">
        <v>1206</v>
      </c>
      <c r="I18" s="35">
        <v>46026</v>
      </c>
    </row>
    <row r="19" spans="1:9" ht="25.5" x14ac:dyDescent="0.25">
      <c r="A19" s="22" t="s">
        <v>366</v>
      </c>
      <c r="B19" s="27" t="s">
        <v>5</v>
      </c>
      <c r="C19" s="8" t="s">
        <v>367</v>
      </c>
      <c r="D19" s="8" t="s">
        <v>368</v>
      </c>
      <c r="E19" s="8" t="s">
        <v>369</v>
      </c>
      <c r="F19" s="17" t="s">
        <v>42</v>
      </c>
      <c r="G19" s="8"/>
      <c r="H19" s="30" t="s">
        <v>1207</v>
      </c>
      <c r="I19" s="35">
        <v>46026</v>
      </c>
    </row>
    <row r="20" spans="1:9" ht="25.5" x14ac:dyDescent="0.25">
      <c r="A20" s="25" t="s">
        <v>370</v>
      </c>
      <c r="B20" s="28" t="s">
        <v>6</v>
      </c>
      <c r="C20" s="5" t="s">
        <v>371</v>
      </c>
      <c r="D20" s="5" t="s">
        <v>372</v>
      </c>
      <c r="E20" s="5" t="s">
        <v>373</v>
      </c>
      <c r="F20" s="16" t="s">
        <v>8</v>
      </c>
      <c r="G20" s="5"/>
      <c r="H20" s="29" t="s">
        <v>1208</v>
      </c>
      <c r="I20" s="35">
        <v>46026</v>
      </c>
    </row>
    <row r="21" spans="1:9" ht="25.5" x14ac:dyDescent="0.25">
      <c r="A21" s="22" t="s">
        <v>374</v>
      </c>
      <c r="B21" s="28" t="s">
        <v>6</v>
      </c>
      <c r="C21" s="8" t="s">
        <v>375</v>
      </c>
      <c r="D21" s="8" t="s">
        <v>376</v>
      </c>
      <c r="E21" s="8" t="s">
        <v>377</v>
      </c>
      <c r="F21" s="16" t="s">
        <v>8</v>
      </c>
      <c r="G21" s="8"/>
      <c r="H21" s="30" t="s">
        <v>1209</v>
      </c>
      <c r="I21" s="35">
        <v>46026</v>
      </c>
    </row>
    <row r="22" spans="1:9" ht="25.5" x14ac:dyDescent="0.25">
      <c r="A22" s="25" t="s">
        <v>378</v>
      </c>
      <c r="B22" s="28" t="s">
        <v>6</v>
      </c>
      <c r="C22" s="5" t="s">
        <v>379</v>
      </c>
      <c r="D22" s="5" t="s">
        <v>380</v>
      </c>
      <c r="E22" s="5" t="s">
        <v>381</v>
      </c>
      <c r="F22" s="17" t="s">
        <v>42</v>
      </c>
      <c r="G22" s="5"/>
      <c r="H22" s="29" t="s">
        <v>1210</v>
      </c>
      <c r="I22" s="35">
        <v>46026</v>
      </c>
    </row>
    <row r="23" spans="1:9" ht="25.5" x14ac:dyDescent="0.25">
      <c r="A23" s="22" t="s">
        <v>382</v>
      </c>
      <c r="B23" s="27" t="s">
        <v>5</v>
      </c>
      <c r="C23" s="8" t="s">
        <v>383</v>
      </c>
      <c r="D23" s="8" t="s">
        <v>384</v>
      </c>
      <c r="E23" s="8" t="s">
        <v>385</v>
      </c>
      <c r="F23" s="17" t="s">
        <v>42</v>
      </c>
      <c r="G23" s="8" t="s">
        <v>361</v>
      </c>
      <c r="H23" s="30" t="s">
        <v>1211</v>
      </c>
      <c r="I23" s="35">
        <v>46026</v>
      </c>
    </row>
    <row r="24" spans="1:9" ht="25.5" x14ac:dyDescent="0.25">
      <c r="A24" s="25" t="s">
        <v>386</v>
      </c>
      <c r="B24" s="28" t="s">
        <v>6</v>
      </c>
      <c r="C24" s="5" t="s">
        <v>387</v>
      </c>
      <c r="D24" s="5" t="s">
        <v>388</v>
      </c>
      <c r="E24" s="5" t="s">
        <v>389</v>
      </c>
      <c r="F24" s="16"/>
      <c r="G24" s="5"/>
      <c r="H24" s="5"/>
      <c r="I24" s="35">
        <v>46026</v>
      </c>
    </row>
    <row r="26" spans="1:9" x14ac:dyDescent="0.25">
      <c r="A26" s="13" t="s">
        <v>137</v>
      </c>
    </row>
    <row r="27" spans="1:9" x14ac:dyDescent="0.25">
      <c r="A27" t="s">
        <v>138</v>
      </c>
      <c r="B27">
        <v>20</v>
      </c>
    </row>
    <row r="28" spans="1:9" x14ac:dyDescent="0.25">
      <c r="A28" t="s">
        <v>139</v>
      </c>
      <c r="B28">
        <f>COUNTIF(F5:F24,"PASS")</f>
        <v>1</v>
      </c>
    </row>
    <row r="29" spans="1:9" x14ac:dyDescent="0.25">
      <c r="A29" t="s">
        <v>140</v>
      </c>
      <c r="B29">
        <f>COUNTIF(F5:F24,"FAIL")</f>
        <v>9</v>
      </c>
    </row>
    <row r="30" spans="1:9" x14ac:dyDescent="0.25">
      <c r="A30" t="s">
        <v>141</v>
      </c>
      <c r="B30">
        <f>COUNTIF(F5:F24,"BLOCKED")</f>
        <v>9</v>
      </c>
    </row>
  </sheetData>
  <mergeCells count="2">
    <mergeCell ref="A1:J1"/>
    <mergeCell ref="A2:J2"/>
  </mergeCells>
  <pageMargins left="0.75" right="0.75" top="1" bottom="1" header="0.511811023622047" footer="0.511811023622047"/>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A111E"/>
  </sheetPr>
  <dimension ref="A1:J28"/>
  <sheetViews>
    <sheetView topLeftCell="A13" zoomScaleNormal="100" workbookViewId="0">
      <selection activeCell="G26" sqref="G26"/>
    </sheetView>
  </sheetViews>
  <sheetFormatPr defaultColWidth="8.7109375" defaultRowHeight="15" x14ac:dyDescent="0.25"/>
  <cols>
    <col min="1" max="1" width="8" customWidth="1"/>
    <col min="2" max="2" width="12" customWidth="1"/>
    <col min="3" max="4" width="55" customWidth="1"/>
    <col min="5" max="5" width="50" customWidth="1"/>
    <col min="6" max="6" width="12" customWidth="1"/>
    <col min="7" max="7" width="18" customWidth="1"/>
    <col min="8" max="8" width="30" customWidth="1"/>
    <col min="9" max="9" width="18" customWidth="1"/>
  </cols>
  <sheetData>
    <row r="1" spans="1:10" ht="18" x14ac:dyDescent="0.25">
      <c r="A1" s="2" t="s">
        <v>390</v>
      </c>
      <c r="B1" s="2"/>
      <c r="C1" s="2"/>
      <c r="D1" s="2"/>
      <c r="E1" s="2"/>
      <c r="F1" s="2"/>
      <c r="G1" s="2"/>
      <c r="H1" s="2"/>
      <c r="I1" s="2"/>
      <c r="J1" s="2"/>
    </row>
    <row r="2" spans="1:10" x14ac:dyDescent="0.25">
      <c r="A2" s="32" t="s">
        <v>1230</v>
      </c>
      <c r="B2" s="1"/>
      <c r="C2" s="1"/>
      <c r="D2" s="1"/>
      <c r="E2" s="1"/>
      <c r="F2" s="1"/>
      <c r="G2" s="1"/>
      <c r="H2" s="1"/>
      <c r="I2" s="1"/>
      <c r="J2" s="1"/>
    </row>
    <row r="4" spans="1:10" x14ac:dyDescent="0.25">
      <c r="A4" s="3" t="s">
        <v>52</v>
      </c>
      <c r="B4" s="3" t="s">
        <v>53</v>
      </c>
      <c r="C4" s="3" t="s">
        <v>54</v>
      </c>
      <c r="D4" s="3" t="s">
        <v>55</v>
      </c>
      <c r="E4" s="3" t="s">
        <v>56</v>
      </c>
      <c r="F4" s="3" t="s">
        <v>57</v>
      </c>
      <c r="G4" s="3" t="s">
        <v>58</v>
      </c>
      <c r="H4" s="3" t="s">
        <v>59</v>
      </c>
      <c r="I4" s="3" t="s">
        <v>60</v>
      </c>
    </row>
    <row r="5" spans="1:10" ht="25.5" x14ac:dyDescent="0.25">
      <c r="A5" s="22" t="s">
        <v>391</v>
      </c>
      <c r="B5" s="23" t="s">
        <v>4</v>
      </c>
      <c r="C5" s="8" t="s">
        <v>392</v>
      </c>
      <c r="D5" s="8" t="s">
        <v>393</v>
      </c>
      <c r="E5" s="8" t="s">
        <v>394</v>
      </c>
      <c r="F5" s="16" t="s">
        <v>8</v>
      </c>
      <c r="G5" s="8"/>
      <c r="H5" s="30" t="s">
        <v>1212</v>
      </c>
      <c r="I5" s="35">
        <v>46026</v>
      </c>
    </row>
    <row r="6" spans="1:10" ht="25.5" x14ac:dyDescent="0.25">
      <c r="A6" s="25" t="s">
        <v>395</v>
      </c>
      <c r="B6" s="23" t="s">
        <v>4</v>
      </c>
      <c r="C6" s="5" t="s">
        <v>396</v>
      </c>
      <c r="D6" s="5" t="s">
        <v>397</v>
      </c>
      <c r="E6" s="5" t="s">
        <v>398</v>
      </c>
      <c r="F6" s="14" t="s">
        <v>7</v>
      </c>
      <c r="G6" s="5"/>
      <c r="H6" s="29" t="s">
        <v>1213</v>
      </c>
      <c r="I6" s="35">
        <v>46026</v>
      </c>
    </row>
    <row r="7" spans="1:10" ht="38.25" x14ac:dyDescent="0.25">
      <c r="A7" s="22" t="s">
        <v>399</v>
      </c>
      <c r="B7" s="23" t="s">
        <v>4</v>
      </c>
      <c r="C7" s="8" t="s">
        <v>400</v>
      </c>
      <c r="D7" s="8" t="s">
        <v>401</v>
      </c>
      <c r="E7" s="8" t="s">
        <v>402</v>
      </c>
      <c r="F7" s="16" t="s">
        <v>8</v>
      </c>
      <c r="G7" s="8"/>
      <c r="H7" s="5" t="s">
        <v>1214</v>
      </c>
      <c r="I7" s="35">
        <v>46026</v>
      </c>
    </row>
    <row r="8" spans="1:10" ht="76.5" x14ac:dyDescent="0.25">
      <c r="A8" s="25" t="s">
        <v>403</v>
      </c>
      <c r="B8" s="27" t="s">
        <v>5</v>
      </c>
      <c r="C8" s="5" t="s">
        <v>404</v>
      </c>
      <c r="D8" s="5" t="s">
        <v>405</v>
      </c>
      <c r="E8" s="5" t="s">
        <v>406</v>
      </c>
      <c r="F8" s="16" t="s">
        <v>8</v>
      </c>
      <c r="G8" s="5"/>
      <c r="H8" s="30" t="s">
        <v>1215</v>
      </c>
      <c r="I8" s="35">
        <v>46026</v>
      </c>
    </row>
    <row r="9" spans="1:10" ht="25.5" x14ac:dyDescent="0.25">
      <c r="A9" s="22" t="s">
        <v>407</v>
      </c>
      <c r="B9" s="27" t="s">
        <v>5</v>
      </c>
      <c r="C9" s="8" t="s">
        <v>408</v>
      </c>
      <c r="D9" s="8" t="s">
        <v>409</v>
      </c>
      <c r="E9" s="8" t="s">
        <v>410</v>
      </c>
      <c r="F9" s="17" t="s">
        <v>42</v>
      </c>
      <c r="G9" s="8"/>
      <c r="H9" s="8" t="s">
        <v>1216</v>
      </c>
      <c r="I9" s="35">
        <v>46026</v>
      </c>
    </row>
    <row r="10" spans="1:10" ht="25.5" x14ac:dyDescent="0.25">
      <c r="A10" s="25" t="s">
        <v>411</v>
      </c>
      <c r="B10" s="27" t="s">
        <v>5</v>
      </c>
      <c r="C10" s="5" t="s">
        <v>412</v>
      </c>
      <c r="D10" s="5" t="s">
        <v>413</v>
      </c>
      <c r="E10" s="5" t="s">
        <v>414</v>
      </c>
      <c r="F10" s="17" t="s">
        <v>42</v>
      </c>
      <c r="G10" s="5"/>
      <c r="H10" s="30" t="s">
        <v>1217</v>
      </c>
      <c r="I10" s="35">
        <v>46026</v>
      </c>
    </row>
    <row r="11" spans="1:10" ht="25.5" x14ac:dyDescent="0.25">
      <c r="A11" s="22" t="s">
        <v>415</v>
      </c>
      <c r="B11" s="27" t="s">
        <v>5</v>
      </c>
      <c r="C11" s="8" t="s">
        <v>416</v>
      </c>
      <c r="D11" s="8" t="s">
        <v>417</v>
      </c>
      <c r="E11" s="30" t="s">
        <v>418</v>
      </c>
      <c r="F11" s="14" t="s">
        <v>7</v>
      </c>
      <c r="G11" s="8"/>
      <c r="H11" s="8" t="s">
        <v>1218</v>
      </c>
      <c r="I11" s="35">
        <v>46026</v>
      </c>
    </row>
    <row r="12" spans="1:10" ht="25.5" x14ac:dyDescent="0.25">
      <c r="A12" s="25" t="s">
        <v>419</v>
      </c>
      <c r="B12" s="27" t="s">
        <v>5</v>
      </c>
      <c r="C12" s="5" t="s">
        <v>420</v>
      </c>
      <c r="D12" s="5" t="s">
        <v>421</v>
      </c>
      <c r="E12" s="29" t="s">
        <v>422</v>
      </c>
      <c r="F12" s="14" t="s">
        <v>7</v>
      </c>
      <c r="G12" s="5"/>
      <c r="H12" s="5" t="s">
        <v>1219</v>
      </c>
      <c r="I12" s="35">
        <v>46026</v>
      </c>
    </row>
    <row r="13" spans="1:10" ht="51" x14ac:dyDescent="0.25">
      <c r="A13" s="22" t="s">
        <v>423</v>
      </c>
      <c r="B13" s="27" t="s">
        <v>5</v>
      </c>
      <c r="C13" s="8" t="s">
        <v>424</v>
      </c>
      <c r="D13" s="8" t="s">
        <v>425</v>
      </c>
      <c r="E13" s="30" t="s">
        <v>426</v>
      </c>
      <c r="F13" s="14" t="s">
        <v>7</v>
      </c>
      <c r="G13" s="8"/>
      <c r="H13" s="30" t="s">
        <v>1220</v>
      </c>
      <c r="I13" s="35">
        <v>46026</v>
      </c>
    </row>
    <row r="14" spans="1:10" ht="51" x14ac:dyDescent="0.25">
      <c r="A14" s="25" t="s">
        <v>427</v>
      </c>
      <c r="B14" s="27" t="s">
        <v>5</v>
      </c>
      <c r="C14" s="5" t="s">
        <v>428</v>
      </c>
      <c r="D14" s="5" t="s">
        <v>429</v>
      </c>
      <c r="E14" s="5" t="s">
        <v>430</v>
      </c>
      <c r="F14" s="16" t="s">
        <v>8</v>
      </c>
      <c r="G14" s="5"/>
      <c r="H14" s="29" t="s">
        <v>1223</v>
      </c>
      <c r="I14" s="35">
        <v>46026</v>
      </c>
    </row>
    <row r="15" spans="1:10" ht="25.5" x14ac:dyDescent="0.25">
      <c r="A15" s="22" t="s">
        <v>431</v>
      </c>
      <c r="B15" s="23" t="s">
        <v>4</v>
      </c>
      <c r="C15" s="8" t="s">
        <v>432</v>
      </c>
      <c r="D15" s="8" t="s">
        <v>433</v>
      </c>
      <c r="E15" s="8" t="s">
        <v>434</v>
      </c>
      <c r="F15" s="17" t="s">
        <v>42</v>
      </c>
      <c r="G15" s="8" t="s">
        <v>435</v>
      </c>
      <c r="H15" s="36" t="s">
        <v>1221</v>
      </c>
      <c r="I15" s="35">
        <v>46026</v>
      </c>
    </row>
    <row r="16" spans="1:10" ht="76.5" x14ac:dyDescent="0.25">
      <c r="A16" s="25" t="s">
        <v>436</v>
      </c>
      <c r="B16" s="27" t="s">
        <v>5</v>
      </c>
      <c r="C16" s="5" t="s">
        <v>437</v>
      </c>
      <c r="D16" s="5" t="s">
        <v>438</v>
      </c>
      <c r="E16" s="5" t="s">
        <v>439</v>
      </c>
      <c r="F16" s="14" t="s">
        <v>7</v>
      </c>
      <c r="G16" s="5"/>
      <c r="H16" s="30" t="s">
        <v>1222</v>
      </c>
      <c r="I16" s="35">
        <v>46026</v>
      </c>
    </row>
    <row r="17" spans="1:9" ht="38.25" x14ac:dyDescent="0.25">
      <c r="A17" s="22" t="s">
        <v>440</v>
      </c>
      <c r="B17" s="27" t="s">
        <v>5</v>
      </c>
      <c r="C17" s="8" t="s">
        <v>441</v>
      </c>
      <c r="D17" s="8" t="s">
        <v>442</v>
      </c>
      <c r="E17" s="8" t="s">
        <v>443</v>
      </c>
      <c r="F17" s="16" t="s">
        <v>8</v>
      </c>
      <c r="G17" s="8"/>
      <c r="H17" s="30" t="s">
        <v>1224</v>
      </c>
      <c r="I17" s="35">
        <v>46026</v>
      </c>
    </row>
    <row r="18" spans="1:9" ht="25.5" x14ac:dyDescent="0.25">
      <c r="A18" s="25" t="s">
        <v>444</v>
      </c>
      <c r="B18" s="27" t="s">
        <v>5</v>
      </c>
      <c r="C18" s="5" t="s">
        <v>445</v>
      </c>
      <c r="D18" s="5" t="s">
        <v>446</v>
      </c>
      <c r="E18" s="5" t="s">
        <v>447</v>
      </c>
      <c r="F18" s="14" t="s">
        <v>7</v>
      </c>
      <c r="G18" s="5"/>
      <c r="H18" s="5" t="s">
        <v>1225</v>
      </c>
      <c r="I18" s="35">
        <v>46026</v>
      </c>
    </row>
    <row r="19" spans="1:9" ht="25.5" x14ac:dyDescent="0.25">
      <c r="A19" s="22" t="s">
        <v>448</v>
      </c>
      <c r="B19" s="28" t="s">
        <v>6</v>
      </c>
      <c r="C19" s="8" t="s">
        <v>449</v>
      </c>
      <c r="D19" s="8" t="s">
        <v>450</v>
      </c>
      <c r="E19" s="30" t="s">
        <v>451</v>
      </c>
      <c r="F19" s="17" t="s">
        <v>42</v>
      </c>
      <c r="G19" s="8"/>
      <c r="H19" s="8" t="s">
        <v>1226</v>
      </c>
      <c r="I19" s="35">
        <v>46026</v>
      </c>
    </row>
    <row r="20" spans="1:9" ht="25.5" x14ac:dyDescent="0.25">
      <c r="A20" s="25" t="s">
        <v>452</v>
      </c>
      <c r="B20" s="28" t="s">
        <v>6</v>
      </c>
      <c r="C20" s="5" t="s">
        <v>453</v>
      </c>
      <c r="D20" s="5" t="s">
        <v>454</v>
      </c>
      <c r="E20" s="5" t="s">
        <v>455</v>
      </c>
      <c r="F20" s="17" t="s">
        <v>42</v>
      </c>
      <c r="G20" s="5"/>
      <c r="H20" t="s">
        <v>1227</v>
      </c>
      <c r="I20" s="35">
        <v>46026</v>
      </c>
    </row>
    <row r="21" spans="1:9" ht="25.5" x14ac:dyDescent="0.25">
      <c r="A21" s="22" t="s">
        <v>456</v>
      </c>
      <c r="B21" s="28" t="s">
        <v>6</v>
      </c>
      <c r="C21" s="8" t="s">
        <v>457</v>
      </c>
      <c r="D21" s="8" t="s">
        <v>458</v>
      </c>
      <c r="E21" s="8" t="s">
        <v>459</v>
      </c>
      <c r="F21" s="16" t="s">
        <v>8</v>
      </c>
      <c r="G21" s="8"/>
      <c r="H21" s="30" t="s">
        <v>1228</v>
      </c>
      <c r="I21" s="35">
        <v>46026</v>
      </c>
    </row>
    <row r="22" spans="1:9" ht="25.5" x14ac:dyDescent="0.25">
      <c r="A22" s="25" t="s">
        <v>460</v>
      </c>
      <c r="B22" s="28" t="s">
        <v>6</v>
      </c>
      <c r="C22" s="5" t="s">
        <v>461</v>
      </c>
      <c r="D22" s="5" t="s">
        <v>462</v>
      </c>
      <c r="E22" s="5" t="s">
        <v>463</v>
      </c>
      <c r="F22" s="17" t="s">
        <v>42</v>
      </c>
      <c r="G22" s="5"/>
      <c r="H22" s="29" t="s">
        <v>1229</v>
      </c>
      <c r="I22" s="35">
        <v>46026</v>
      </c>
    </row>
    <row r="24" spans="1:9" x14ac:dyDescent="0.25">
      <c r="A24" s="13" t="s">
        <v>137</v>
      </c>
    </row>
    <row r="25" spans="1:9" x14ac:dyDescent="0.25">
      <c r="A25" t="s">
        <v>138</v>
      </c>
      <c r="B25">
        <v>18</v>
      </c>
    </row>
    <row r="26" spans="1:9" x14ac:dyDescent="0.25">
      <c r="A26" t="s">
        <v>139</v>
      </c>
      <c r="B26">
        <f>COUNTIF(F5:F22,"PASS")</f>
        <v>6</v>
      </c>
    </row>
    <row r="27" spans="1:9" x14ac:dyDescent="0.25">
      <c r="A27" t="s">
        <v>140</v>
      </c>
      <c r="B27">
        <f>COUNTIF(F5:F22,"FAIL")</f>
        <v>6</v>
      </c>
    </row>
    <row r="28" spans="1:9" x14ac:dyDescent="0.25">
      <c r="A28" t="s">
        <v>141</v>
      </c>
      <c r="B28">
        <f>COUNTIF(F5:F22,"BLOCKED")</f>
        <v>6</v>
      </c>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A111E"/>
  </sheetPr>
  <dimension ref="A1:J32"/>
  <sheetViews>
    <sheetView zoomScaleNormal="100" workbookViewId="0">
      <selection activeCell="H9" sqref="H8:H9"/>
    </sheetView>
  </sheetViews>
  <sheetFormatPr defaultColWidth="8.7109375" defaultRowHeight="15" x14ac:dyDescent="0.25"/>
  <cols>
    <col min="1" max="1" width="8" customWidth="1"/>
    <col min="2" max="2" width="12" customWidth="1"/>
    <col min="3" max="4" width="55" customWidth="1"/>
    <col min="5" max="5" width="50" customWidth="1"/>
    <col min="6" max="6" width="12" customWidth="1"/>
    <col min="7" max="7" width="18" customWidth="1"/>
    <col min="8" max="8" width="30" customWidth="1"/>
    <col min="9" max="9" width="18" customWidth="1"/>
  </cols>
  <sheetData>
    <row r="1" spans="1:10" ht="18" x14ac:dyDescent="0.25">
      <c r="A1" s="2" t="s">
        <v>464</v>
      </c>
      <c r="B1" s="2"/>
      <c r="C1" s="2"/>
      <c r="D1" s="2"/>
      <c r="E1" s="2"/>
      <c r="F1" s="2"/>
      <c r="G1" s="2"/>
      <c r="H1" s="2"/>
      <c r="I1" s="2"/>
      <c r="J1" s="2"/>
    </row>
    <row r="2" spans="1:10" x14ac:dyDescent="0.25">
      <c r="A2" s="32" t="s">
        <v>1231</v>
      </c>
      <c r="B2" s="1"/>
      <c r="C2" s="1"/>
      <c r="D2" s="1"/>
      <c r="E2" s="1"/>
      <c r="F2" s="1"/>
      <c r="G2" s="1"/>
      <c r="H2" s="1"/>
      <c r="I2" s="1"/>
      <c r="J2" s="1"/>
    </row>
    <row r="4" spans="1:10" x14ac:dyDescent="0.25">
      <c r="A4" s="3" t="s">
        <v>52</v>
      </c>
      <c r="B4" s="3" t="s">
        <v>53</v>
      </c>
      <c r="C4" s="3" t="s">
        <v>54</v>
      </c>
      <c r="D4" s="3" t="s">
        <v>55</v>
      </c>
      <c r="E4" s="3" t="s">
        <v>56</v>
      </c>
      <c r="F4" s="3" t="s">
        <v>57</v>
      </c>
      <c r="G4" s="3" t="s">
        <v>58</v>
      </c>
      <c r="H4" s="3" t="s">
        <v>59</v>
      </c>
      <c r="I4" s="3" t="s">
        <v>60</v>
      </c>
    </row>
    <row r="5" spans="1:10" ht="25.5" x14ac:dyDescent="0.25">
      <c r="A5" s="22" t="s">
        <v>465</v>
      </c>
      <c r="B5" s="23" t="s">
        <v>4</v>
      </c>
      <c r="C5" s="8" t="s">
        <v>466</v>
      </c>
      <c r="D5" s="8" t="s">
        <v>467</v>
      </c>
      <c r="E5" s="8" t="s">
        <v>468</v>
      </c>
      <c r="F5" s="16" t="s">
        <v>8</v>
      </c>
      <c r="G5" s="8"/>
      <c r="H5" s="30" t="s">
        <v>1232</v>
      </c>
      <c r="I5" s="35">
        <v>46026</v>
      </c>
    </row>
    <row r="6" spans="1:10" ht="51" x14ac:dyDescent="0.25">
      <c r="A6" s="25" t="s">
        <v>469</v>
      </c>
      <c r="B6" s="23" t="s">
        <v>4</v>
      </c>
      <c r="C6" s="5" t="s">
        <v>470</v>
      </c>
      <c r="D6" s="5" t="s">
        <v>471</v>
      </c>
      <c r="E6" s="5" t="s">
        <v>472</v>
      </c>
      <c r="F6" s="26"/>
      <c r="G6" s="5"/>
      <c r="H6" s="29" t="s">
        <v>1233</v>
      </c>
      <c r="I6" s="35">
        <v>46026</v>
      </c>
    </row>
    <row r="7" spans="1:10" ht="25.5" x14ac:dyDescent="0.25">
      <c r="A7" s="22" t="s">
        <v>473</v>
      </c>
      <c r="B7" s="23" t="s">
        <v>4</v>
      </c>
      <c r="C7" s="8" t="s">
        <v>474</v>
      </c>
      <c r="D7" s="8" t="s">
        <v>475</v>
      </c>
      <c r="E7" s="8" t="s">
        <v>476</v>
      </c>
      <c r="F7" s="24"/>
      <c r="G7" s="8"/>
      <c r="H7" s="8"/>
      <c r="I7" s="35">
        <v>46026</v>
      </c>
    </row>
    <row r="8" spans="1:10" ht="25.5" x14ac:dyDescent="0.25">
      <c r="A8" s="25" t="s">
        <v>477</v>
      </c>
      <c r="B8" s="27" t="s">
        <v>5</v>
      </c>
      <c r="C8" s="5" t="s">
        <v>478</v>
      </c>
      <c r="D8" s="5" t="s">
        <v>479</v>
      </c>
      <c r="E8" s="5" t="s">
        <v>480</v>
      </c>
      <c r="F8" s="26"/>
      <c r="G8" s="5"/>
      <c r="H8" s="5"/>
      <c r="I8" s="35">
        <v>46026</v>
      </c>
    </row>
    <row r="9" spans="1:10" ht="25.5" x14ac:dyDescent="0.25">
      <c r="A9" s="22" t="s">
        <v>481</v>
      </c>
      <c r="B9" s="27" t="s">
        <v>5</v>
      </c>
      <c r="C9" s="8" t="s">
        <v>482</v>
      </c>
      <c r="D9" s="8" t="s">
        <v>483</v>
      </c>
      <c r="E9" s="8" t="s">
        <v>484</v>
      </c>
      <c r="F9" s="24"/>
      <c r="G9" s="8"/>
      <c r="H9" s="8"/>
      <c r="I9" s="35">
        <v>46026</v>
      </c>
    </row>
    <row r="10" spans="1:10" ht="25.5" x14ac:dyDescent="0.25">
      <c r="A10" s="25" t="s">
        <v>485</v>
      </c>
      <c r="B10" s="23" t="s">
        <v>4</v>
      </c>
      <c r="C10" s="5" t="s">
        <v>486</v>
      </c>
      <c r="D10" s="5" t="s">
        <v>487</v>
      </c>
      <c r="E10" s="5" t="s">
        <v>488</v>
      </c>
      <c r="F10" s="26"/>
      <c r="G10" s="5" t="s">
        <v>489</v>
      </c>
      <c r="H10" s="5"/>
      <c r="I10" s="35">
        <v>46026</v>
      </c>
    </row>
    <row r="11" spans="1:10" x14ac:dyDescent="0.25">
      <c r="A11" s="22" t="s">
        <v>490</v>
      </c>
      <c r="B11" s="23" t="s">
        <v>4</v>
      </c>
      <c r="C11" s="8" t="s">
        <v>491</v>
      </c>
      <c r="D11" s="8" t="s">
        <v>492</v>
      </c>
      <c r="E11" s="8" t="s">
        <v>493</v>
      </c>
      <c r="F11" s="24"/>
      <c r="G11" s="8" t="s">
        <v>489</v>
      </c>
      <c r="H11" s="8"/>
      <c r="I11" s="35">
        <v>46026</v>
      </c>
    </row>
    <row r="12" spans="1:10" x14ac:dyDescent="0.25">
      <c r="A12" s="25" t="s">
        <v>494</v>
      </c>
      <c r="B12" s="27" t="s">
        <v>5</v>
      </c>
      <c r="C12" s="5" t="s">
        <v>495</v>
      </c>
      <c r="D12" s="5" t="s">
        <v>496</v>
      </c>
      <c r="E12" s="5" t="s">
        <v>497</v>
      </c>
      <c r="F12" s="26"/>
      <c r="G12" s="5" t="s">
        <v>489</v>
      </c>
      <c r="H12" s="5"/>
      <c r="I12" s="35">
        <v>46026</v>
      </c>
    </row>
    <row r="13" spans="1:10" x14ac:dyDescent="0.25">
      <c r="A13" s="22" t="s">
        <v>498</v>
      </c>
      <c r="B13" s="27" t="s">
        <v>5</v>
      </c>
      <c r="C13" s="8" t="s">
        <v>499</v>
      </c>
      <c r="D13" s="8" t="s">
        <v>500</v>
      </c>
      <c r="E13" s="8" t="s">
        <v>501</v>
      </c>
      <c r="F13" s="24"/>
      <c r="G13" s="8"/>
      <c r="H13" s="8"/>
      <c r="I13" s="35">
        <v>46026</v>
      </c>
    </row>
    <row r="14" spans="1:10" x14ac:dyDescent="0.25">
      <c r="A14" s="25" t="s">
        <v>502</v>
      </c>
      <c r="B14" s="27" t="s">
        <v>5</v>
      </c>
      <c r="C14" s="5" t="s">
        <v>503</v>
      </c>
      <c r="D14" s="5" t="s">
        <v>504</v>
      </c>
      <c r="E14" s="5" t="s">
        <v>505</v>
      </c>
      <c r="F14" s="26"/>
      <c r="G14" s="5"/>
      <c r="H14" s="5"/>
      <c r="I14" s="35">
        <v>46026</v>
      </c>
    </row>
    <row r="15" spans="1:10" x14ac:dyDescent="0.25">
      <c r="A15" s="22" t="s">
        <v>506</v>
      </c>
      <c r="B15" s="27" t="s">
        <v>5</v>
      </c>
      <c r="C15" s="8" t="s">
        <v>507</v>
      </c>
      <c r="D15" s="8" t="s">
        <v>508</v>
      </c>
      <c r="E15" s="8" t="s">
        <v>509</v>
      </c>
      <c r="F15" s="24"/>
      <c r="G15" s="8"/>
      <c r="H15" s="8"/>
      <c r="I15" s="35">
        <v>46026</v>
      </c>
    </row>
    <row r="16" spans="1:10" ht="25.5" x14ac:dyDescent="0.25">
      <c r="A16" s="25" t="s">
        <v>510</v>
      </c>
      <c r="B16" s="27" t="s">
        <v>5</v>
      </c>
      <c r="C16" s="5" t="s">
        <v>511</v>
      </c>
      <c r="D16" s="5" t="s">
        <v>512</v>
      </c>
      <c r="E16" s="5" t="s">
        <v>513</v>
      </c>
      <c r="F16" s="26"/>
      <c r="G16" s="5" t="s">
        <v>514</v>
      </c>
      <c r="H16" s="5"/>
      <c r="I16" s="35">
        <v>46026</v>
      </c>
    </row>
    <row r="17" spans="1:9" x14ac:dyDescent="0.25">
      <c r="A17" s="22" t="s">
        <v>515</v>
      </c>
      <c r="B17" s="27" t="s">
        <v>5</v>
      </c>
      <c r="C17" s="8" t="s">
        <v>516</v>
      </c>
      <c r="D17" s="8" t="s">
        <v>517</v>
      </c>
      <c r="E17" s="8" t="s">
        <v>518</v>
      </c>
      <c r="F17" s="24"/>
      <c r="G17" s="8" t="s">
        <v>519</v>
      </c>
      <c r="H17" s="8"/>
      <c r="I17" s="35">
        <v>46026</v>
      </c>
    </row>
    <row r="18" spans="1:9" ht="25.5" x14ac:dyDescent="0.25">
      <c r="A18" s="25" t="s">
        <v>520</v>
      </c>
      <c r="B18" s="27" t="s">
        <v>5</v>
      </c>
      <c r="C18" s="5" t="s">
        <v>521</v>
      </c>
      <c r="D18" s="5" t="s">
        <v>522</v>
      </c>
      <c r="E18" s="5" t="s">
        <v>523</v>
      </c>
      <c r="F18" s="26"/>
      <c r="G18" s="5"/>
      <c r="H18" s="5"/>
      <c r="I18" s="35">
        <v>46026</v>
      </c>
    </row>
    <row r="19" spans="1:9" x14ac:dyDescent="0.25">
      <c r="A19" s="22" t="s">
        <v>524</v>
      </c>
      <c r="B19" s="28" t="s">
        <v>6</v>
      </c>
      <c r="C19" s="8" t="s">
        <v>525</v>
      </c>
      <c r="D19" s="8" t="s">
        <v>526</v>
      </c>
      <c r="E19" s="8" t="s">
        <v>527</v>
      </c>
      <c r="F19" s="24"/>
      <c r="G19" s="8"/>
      <c r="H19" s="8"/>
      <c r="I19" s="35">
        <v>46026</v>
      </c>
    </row>
    <row r="20" spans="1:9" x14ac:dyDescent="0.25">
      <c r="A20" s="25" t="s">
        <v>528</v>
      </c>
      <c r="B20" s="28" t="s">
        <v>6</v>
      </c>
      <c r="C20" s="5" t="s">
        <v>529</v>
      </c>
      <c r="D20" s="5" t="s">
        <v>530</v>
      </c>
      <c r="E20" s="5" t="s">
        <v>531</v>
      </c>
      <c r="F20" s="26"/>
      <c r="G20" s="5"/>
      <c r="H20" s="5"/>
      <c r="I20" s="35">
        <v>46026</v>
      </c>
    </row>
    <row r="21" spans="1:9" x14ac:dyDescent="0.25">
      <c r="A21" s="22" t="s">
        <v>532</v>
      </c>
      <c r="B21" s="28" t="s">
        <v>6</v>
      </c>
      <c r="C21" s="8" t="s">
        <v>533</v>
      </c>
      <c r="D21" s="8" t="s">
        <v>534</v>
      </c>
      <c r="E21" s="8" t="s">
        <v>535</v>
      </c>
      <c r="F21" s="24"/>
      <c r="G21" s="8"/>
      <c r="H21" s="8"/>
      <c r="I21" s="35">
        <v>46026</v>
      </c>
    </row>
    <row r="22" spans="1:9" x14ac:dyDescent="0.25">
      <c r="A22" s="25" t="s">
        <v>536</v>
      </c>
      <c r="B22" s="28" t="s">
        <v>6</v>
      </c>
      <c r="C22" s="5" t="s">
        <v>537</v>
      </c>
      <c r="D22" s="5" t="s">
        <v>538</v>
      </c>
      <c r="E22" s="5" t="s">
        <v>539</v>
      </c>
      <c r="F22" s="26"/>
      <c r="G22" s="5"/>
      <c r="H22" s="5"/>
      <c r="I22" s="35">
        <v>46026</v>
      </c>
    </row>
    <row r="23" spans="1:9" x14ac:dyDescent="0.25">
      <c r="A23" s="22" t="s">
        <v>540</v>
      </c>
      <c r="B23" s="27" t="s">
        <v>5</v>
      </c>
      <c r="C23" s="8" t="s">
        <v>541</v>
      </c>
      <c r="D23" s="8" t="s">
        <v>542</v>
      </c>
      <c r="E23" s="8" t="s">
        <v>543</v>
      </c>
      <c r="F23" s="24"/>
      <c r="G23" s="8"/>
      <c r="H23" s="8"/>
      <c r="I23" s="35">
        <v>46026</v>
      </c>
    </row>
    <row r="24" spans="1:9" x14ac:dyDescent="0.25">
      <c r="A24" s="25" t="s">
        <v>544</v>
      </c>
      <c r="B24" s="27" t="s">
        <v>5</v>
      </c>
      <c r="C24" s="5" t="s">
        <v>545</v>
      </c>
      <c r="D24" s="5" t="s">
        <v>546</v>
      </c>
      <c r="E24" s="5" t="s">
        <v>547</v>
      </c>
      <c r="F24" s="26"/>
      <c r="G24" s="5"/>
      <c r="H24" s="5"/>
      <c r="I24" s="35">
        <v>46026</v>
      </c>
    </row>
    <row r="25" spans="1:9" x14ac:dyDescent="0.25">
      <c r="A25" s="22" t="s">
        <v>548</v>
      </c>
      <c r="B25" s="28" t="s">
        <v>6</v>
      </c>
      <c r="C25" s="8" t="s">
        <v>549</v>
      </c>
      <c r="D25" s="8" t="s">
        <v>550</v>
      </c>
      <c r="E25" s="8" t="s">
        <v>551</v>
      </c>
      <c r="F25" s="24"/>
      <c r="G25" s="8"/>
      <c r="H25" s="8"/>
      <c r="I25" s="35">
        <v>46026</v>
      </c>
    </row>
    <row r="26" spans="1:9" x14ac:dyDescent="0.25">
      <c r="A26" s="25" t="s">
        <v>552</v>
      </c>
      <c r="B26" s="28" t="s">
        <v>6</v>
      </c>
      <c r="C26" s="5" t="s">
        <v>553</v>
      </c>
      <c r="D26" s="5" t="s">
        <v>554</v>
      </c>
      <c r="E26" s="5" t="s">
        <v>555</v>
      </c>
      <c r="F26" s="26"/>
      <c r="G26" s="5"/>
      <c r="H26" s="5"/>
      <c r="I26" s="35">
        <v>46026</v>
      </c>
    </row>
    <row r="28" spans="1:9" x14ac:dyDescent="0.25">
      <c r="A28" s="13" t="s">
        <v>137</v>
      </c>
    </row>
    <row r="29" spans="1:9" x14ac:dyDescent="0.25">
      <c r="A29" t="s">
        <v>138</v>
      </c>
      <c r="B29">
        <v>22</v>
      </c>
    </row>
    <row r="30" spans="1:9" x14ac:dyDescent="0.25">
      <c r="A30" t="s">
        <v>139</v>
      </c>
      <c r="B30">
        <f>COUNTIF(F5:F26,"PASS")</f>
        <v>0</v>
      </c>
    </row>
    <row r="31" spans="1:9" x14ac:dyDescent="0.25">
      <c r="A31" t="s">
        <v>140</v>
      </c>
      <c r="B31">
        <f>COUNTIF(F5:F26,"FAIL")</f>
        <v>1</v>
      </c>
    </row>
    <row r="32" spans="1:9" x14ac:dyDescent="0.25">
      <c r="A32" t="s">
        <v>141</v>
      </c>
      <c r="B32">
        <f>COUNTIF(F5:F26,"BLOCKED")</f>
        <v>0</v>
      </c>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A111E"/>
  </sheetPr>
  <dimension ref="A1:J34"/>
  <sheetViews>
    <sheetView topLeftCell="A16" zoomScaleNormal="100" workbookViewId="0">
      <selection sqref="A1:J1"/>
    </sheetView>
  </sheetViews>
  <sheetFormatPr defaultColWidth="8.7109375" defaultRowHeight="15" x14ac:dyDescent="0.25"/>
  <cols>
    <col min="1" max="1" width="8" customWidth="1"/>
    <col min="2" max="2" width="12" customWidth="1"/>
    <col min="3" max="4" width="55" customWidth="1"/>
    <col min="5" max="5" width="50" customWidth="1"/>
    <col min="6" max="6" width="12" customWidth="1"/>
    <col min="7" max="7" width="18" customWidth="1"/>
    <col min="8" max="8" width="30" customWidth="1"/>
    <col min="9" max="9" width="18" customWidth="1"/>
  </cols>
  <sheetData>
    <row r="1" spans="1:10" ht="18" x14ac:dyDescent="0.25">
      <c r="A1" s="2" t="s">
        <v>556</v>
      </c>
      <c r="B1" s="2"/>
      <c r="C1" s="2"/>
      <c r="D1" s="2"/>
      <c r="E1" s="2"/>
      <c r="F1" s="2"/>
      <c r="G1" s="2"/>
      <c r="H1" s="2"/>
      <c r="I1" s="2"/>
      <c r="J1" s="2"/>
    </row>
    <row r="2" spans="1:10" x14ac:dyDescent="0.25">
      <c r="A2" s="1" t="s">
        <v>51</v>
      </c>
      <c r="B2" s="1"/>
      <c r="C2" s="1"/>
      <c r="D2" s="1"/>
      <c r="E2" s="1"/>
      <c r="F2" s="1"/>
      <c r="G2" s="1"/>
      <c r="H2" s="1"/>
      <c r="I2" s="1"/>
      <c r="J2" s="1"/>
    </row>
    <row r="4" spans="1:10" x14ac:dyDescent="0.25">
      <c r="A4" s="3" t="s">
        <v>52</v>
      </c>
      <c r="B4" s="3" t="s">
        <v>53</v>
      </c>
      <c r="C4" s="3" t="s">
        <v>54</v>
      </c>
      <c r="D4" s="3" t="s">
        <v>55</v>
      </c>
      <c r="E4" s="3" t="s">
        <v>56</v>
      </c>
      <c r="F4" s="3" t="s">
        <v>57</v>
      </c>
      <c r="G4" s="3" t="s">
        <v>58</v>
      </c>
      <c r="H4" s="3" t="s">
        <v>59</v>
      </c>
      <c r="I4" s="3" t="s">
        <v>60</v>
      </c>
    </row>
    <row r="5" spans="1:10" ht="25.5" x14ac:dyDescent="0.25">
      <c r="A5" s="22" t="s">
        <v>557</v>
      </c>
      <c r="B5" s="23" t="s">
        <v>4</v>
      </c>
      <c r="C5" s="8" t="s">
        <v>558</v>
      </c>
      <c r="D5" s="8" t="s">
        <v>559</v>
      </c>
      <c r="E5" s="8" t="s">
        <v>560</v>
      </c>
      <c r="F5" s="24"/>
      <c r="G5" s="8"/>
      <c r="H5" s="8"/>
      <c r="I5" s="8"/>
    </row>
    <row r="6" spans="1:10" ht="25.5" x14ac:dyDescent="0.25">
      <c r="A6" s="25" t="s">
        <v>561</v>
      </c>
      <c r="B6" s="23" t="s">
        <v>4</v>
      </c>
      <c r="C6" s="5" t="s">
        <v>562</v>
      </c>
      <c r="D6" s="5" t="s">
        <v>563</v>
      </c>
      <c r="E6" s="5" t="s">
        <v>564</v>
      </c>
      <c r="F6" s="26"/>
      <c r="G6" s="5"/>
      <c r="H6" s="5"/>
      <c r="I6" s="5"/>
    </row>
    <row r="7" spans="1:10" ht="25.5" x14ac:dyDescent="0.25">
      <c r="A7" s="22" t="s">
        <v>565</v>
      </c>
      <c r="B7" s="23" t="s">
        <v>4</v>
      </c>
      <c r="C7" s="8" t="s">
        <v>566</v>
      </c>
      <c r="D7" s="8" t="s">
        <v>567</v>
      </c>
      <c r="E7" s="8" t="s">
        <v>568</v>
      </c>
      <c r="F7" s="24"/>
      <c r="G7" s="8"/>
      <c r="H7" s="8"/>
      <c r="I7" s="8"/>
    </row>
    <row r="8" spans="1:10" x14ac:dyDescent="0.25">
      <c r="A8" s="25" t="s">
        <v>569</v>
      </c>
      <c r="B8" s="27" t="s">
        <v>5</v>
      </c>
      <c r="C8" s="5" t="s">
        <v>570</v>
      </c>
      <c r="D8" s="5" t="s">
        <v>571</v>
      </c>
      <c r="E8" s="5" t="s">
        <v>572</v>
      </c>
      <c r="F8" s="26"/>
      <c r="G8" s="5"/>
      <c r="H8" s="5"/>
      <c r="I8" s="5"/>
    </row>
    <row r="9" spans="1:10" x14ac:dyDescent="0.25">
      <c r="A9" s="22" t="s">
        <v>573</v>
      </c>
      <c r="B9" s="27" t="s">
        <v>5</v>
      </c>
      <c r="C9" s="8" t="s">
        <v>574</v>
      </c>
      <c r="D9" s="8" t="s">
        <v>575</v>
      </c>
      <c r="E9" s="8" t="s">
        <v>576</v>
      </c>
      <c r="F9" s="24"/>
      <c r="G9" s="8"/>
      <c r="H9" s="8"/>
      <c r="I9" s="8"/>
    </row>
    <row r="10" spans="1:10" ht="25.5" x14ac:dyDescent="0.25">
      <c r="A10" s="25" t="s">
        <v>577</v>
      </c>
      <c r="B10" s="23" t="s">
        <v>4</v>
      </c>
      <c r="C10" s="5" t="s">
        <v>578</v>
      </c>
      <c r="D10" s="5" t="s">
        <v>579</v>
      </c>
      <c r="E10" s="5" t="s">
        <v>580</v>
      </c>
      <c r="F10" s="26"/>
      <c r="G10" s="5"/>
      <c r="H10" s="5"/>
      <c r="I10" s="5"/>
    </row>
    <row r="11" spans="1:10" ht="25.5" x14ac:dyDescent="0.25">
      <c r="A11" s="22" t="s">
        <v>581</v>
      </c>
      <c r="B11" s="23" t="s">
        <v>4</v>
      </c>
      <c r="C11" s="8" t="s">
        <v>582</v>
      </c>
      <c r="D11" s="8" t="s">
        <v>583</v>
      </c>
      <c r="E11" s="8" t="s">
        <v>584</v>
      </c>
      <c r="F11" s="24"/>
      <c r="G11" s="8" t="s">
        <v>585</v>
      </c>
      <c r="H11" s="8"/>
      <c r="I11" s="8"/>
    </row>
    <row r="12" spans="1:10" ht="25.5" x14ac:dyDescent="0.25">
      <c r="A12" s="25" t="s">
        <v>586</v>
      </c>
      <c r="B12" s="23" t="s">
        <v>4</v>
      </c>
      <c r="C12" s="5" t="s">
        <v>587</v>
      </c>
      <c r="D12" s="5" t="s">
        <v>588</v>
      </c>
      <c r="E12" s="5" t="s">
        <v>589</v>
      </c>
      <c r="F12" s="26"/>
      <c r="G12" s="5" t="s">
        <v>585</v>
      </c>
      <c r="H12" s="5"/>
      <c r="I12" s="5"/>
    </row>
    <row r="13" spans="1:10" x14ac:dyDescent="0.25">
      <c r="A13" s="22" t="s">
        <v>590</v>
      </c>
      <c r="B13" s="27" t="s">
        <v>5</v>
      </c>
      <c r="C13" s="8" t="s">
        <v>591</v>
      </c>
      <c r="D13" s="8" t="s">
        <v>592</v>
      </c>
      <c r="E13" s="8" t="s">
        <v>593</v>
      </c>
      <c r="F13" s="24"/>
      <c r="G13" s="8" t="s">
        <v>585</v>
      </c>
      <c r="H13" s="8"/>
      <c r="I13" s="8"/>
    </row>
    <row r="14" spans="1:10" x14ac:dyDescent="0.25">
      <c r="A14" s="25" t="s">
        <v>594</v>
      </c>
      <c r="B14" s="27" t="s">
        <v>5</v>
      </c>
      <c r="C14" s="5" t="s">
        <v>595</v>
      </c>
      <c r="D14" s="5" t="s">
        <v>596</v>
      </c>
      <c r="E14" s="5" t="s">
        <v>597</v>
      </c>
      <c r="F14" s="26"/>
      <c r="G14" s="5"/>
      <c r="H14" s="5"/>
      <c r="I14" s="5"/>
    </row>
    <row r="15" spans="1:10" x14ac:dyDescent="0.25">
      <c r="A15" s="22" t="s">
        <v>598</v>
      </c>
      <c r="B15" s="27" t="s">
        <v>5</v>
      </c>
      <c r="C15" s="8" t="s">
        <v>599</v>
      </c>
      <c r="D15" s="8" t="s">
        <v>600</v>
      </c>
      <c r="E15" s="8" t="s">
        <v>601</v>
      </c>
      <c r="F15" s="24"/>
      <c r="G15" s="8"/>
      <c r="H15" s="8"/>
      <c r="I15" s="8"/>
    </row>
    <row r="16" spans="1:10" ht="25.5" x14ac:dyDescent="0.25">
      <c r="A16" s="25" t="s">
        <v>602</v>
      </c>
      <c r="B16" s="27" t="s">
        <v>5</v>
      </c>
      <c r="C16" s="5" t="s">
        <v>603</v>
      </c>
      <c r="D16" s="5" t="s">
        <v>604</v>
      </c>
      <c r="E16" s="5" t="s">
        <v>605</v>
      </c>
      <c r="F16" s="26"/>
      <c r="G16" s="5"/>
      <c r="H16" s="5"/>
      <c r="I16" s="5"/>
    </row>
    <row r="17" spans="1:9" x14ac:dyDescent="0.25">
      <c r="A17" s="22" t="s">
        <v>606</v>
      </c>
      <c r="B17" s="27" t="s">
        <v>5</v>
      </c>
      <c r="C17" s="8" t="s">
        <v>607</v>
      </c>
      <c r="D17" s="8" t="s">
        <v>608</v>
      </c>
      <c r="E17" s="8" t="s">
        <v>609</v>
      </c>
      <c r="F17" s="24"/>
      <c r="G17" s="8"/>
      <c r="H17" s="8"/>
      <c r="I17" s="8"/>
    </row>
    <row r="18" spans="1:9" x14ac:dyDescent="0.25">
      <c r="A18" s="25" t="s">
        <v>610</v>
      </c>
      <c r="B18" s="27" t="s">
        <v>5</v>
      </c>
      <c r="C18" s="5" t="s">
        <v>611</v>
      </c>
      <c r="D18" s="5" t="s">
        <v>612</v>
      </c>
      <c r="E18" s="5" t="s">
        <v>613</v>
      </c>
      <c r="F18" s="26"/>
      <c r="G18" s="5"/>
      <c r="H18" s="5"/>
      <c r="I18" s="5"/>
    </row>
    <row r="19" spans="1:9" x14ac:dyDescent="0.25">
      <c r="A19" s="22" t="s">
        <v>614</v>
      </c>
      <c r="B19" s="27" t="s">
        <v>5</v>
      </c>
      <c r="C19" s="8" t="s">
        <v>615</v>
      </c>
      <c r="D19" s="8" t="s">
        <v>616</v>
      </c>
      <c r="E19" s="8" t="s">
        <v>617</v>
      </c>
      <c r="F19" s="24"/>
      <c r="G19" s="8"/>
      <c r="H19" s="8"/>
      <c r="I19" s="8"/>
    </row>
    <row r="20" spans="1:9" x14ac:dyDescent="0.25">
      <c r="A20" s="25" t="s">
        <v>618</v>
      </c>
      <c r="B20" s="27" t="s">
        <v>5</v>
      </c>
      <c r="C20" s="5" t="s">
        <v>619</v>
      </c>
      <c r="D20" s="5" t="s">
        <v>620</v>
      </c>
      <c r="E20" s="5" t="s">
        <v>621</v>
      </c>
      <c r="F20" s="26"/>
      <c r="G20" s="5"/>
      <c r="H20" s="5"/>
      <c r="I20" s="5"/>
    </row>
    <row r="21" spans="1:9" x14ac:dyDescent="0.25">
      <c r="A21" s="22" t="s">
        <v>622</v>
      </c>
      <c r="B21" s="27" t="s">
        <v>5</v>
      </c>
      <c r="C21" s="8" t="s">
        <v>623</v>
      </c>
      <c r="D21" s="8" t="s">
        <v>624</v>
      </c>
      <c r="E21" s="8" t="s">
        <v>625</v>
      </c>
      <c r="F21" s="24"/>
      <c r="G21" s="8"/>
      <c r="H21" s="8"/>
      <c r="I21" s="8"/>
    </row>
    <row r="22" spans="1:9" x14ac:dyDescent="0.25">
      <c r="A22" s="25" t="s">
        <v>626</v>
      </c>
      <c r="B22" s="27" t="s">
        <v>5</v>
      </c>
      <c r="C22" s="5" t="s">
        <v>627</v>
      </c>
      <c r="D22" s="5" t="s">
        <v>628</v>
      </c>
      <c r="E22" s="5" t="s">
        <v>629</v>
      </c>
      <c r="F22" s="26"/>
      <c r="G22" s="5"/>
      <c r="H22" s="5"/>
      <c r="I22" s="5"/>
    </row>
    <row r="23" spans="1:9" x14ac:dyDescent="0.25">
      <c r="A23" s="22" t="s">
        <v>630</v>
      </c>
      <c r="B23" s="27" t="s">
        <v>5</v>
      </c>
      <c r="C23" s="8" t="s">
        <v>631</v>
      </c>
      <c r="D23" s="8" t="s">
        <v>632</v>
      </c>
      <c r="E23" s="8" t="s">
        <v>633</v>
      </c>
      <c r="F23" s="24"/>
      <c r="G23" s="8"/>
      <c r="H23" s="8"/>
      <c r="I23" s="8"/>
    </row>
    <row r="24" spans="1:9" ht="38.25" x14ac:dyDescent="0.25">
      <c r="A24" s="25" t="s">
        <v>634</v>
      </c>
      <c r="B24" s="23" t="s">
        <v>4</v>
      </c>
      <c r="C24" s="5" t="s">
        <v>635</v>
      </c>
      <c r="D24" s="5" t="s">
        <v>636</v>
      </c>
      <c r="E24" s="5" t="s">
        <v>637</v>
      </c>
      <c r="F24" s="26"/>
      <c r="G24" s="5" t="s">
        <v>638</v>
      </c>
      <c r="H24" s="5"/>
      <c r="I24" s="5"/>
    </row>
    <row r="25" spans="1:9" x14ac:dyDescent="0.25">
      <c r="A25" s="22" t="s">
        <v>639</v>
      </c>
      <c r="B25" s="28" t="s">
        <v>6</v>
      </c>
      <c r="C25" s="8" t="s">
        <v>640</v>
      </c>
      <c r="D25" s="8" t="s">
        <v>641</v>
      </c>
      <c r="E25" s="8" t="s">
        <v>642</v>
      </c>
      <c r="F25" s="24"/>
      <c r="G25" s="8"/>
      <c r="H25" s="8"/>
      <c r="I25" s="8"/>
    </row>
    <row r="26" spans="1:9" x14ac:dyDescent="0.25">
      <c r="A26" s="25" t="s">
        <v>643</v>
      </c>
      <c r="B26" s="28" t="s">
        <v>6</v>
      </c>
      <c r="C26" s="5" t="s">
        <v>644</v>
      </c>
      <c r="D26" s="5" t="s">
        <v>645</v>
      </c>
      <c r="E26" s="5" t="s">
        <v>646</v>
      </c>
      <c r="F26" s="26"/>
      <c r="G26" s="5"/>
      <c r="H26" s="5"/>
      <c r="I26" s="5"/>
    </row>
    <row r="27" spans="1:9" ht="25.5" x14ac:dyDescent="0.25">
      <c r="A27" s="22" t="s">
        <v>647</v>
      </c>
      <c r="B27" s="28" t="s">
        <v>6</v>
      </c>
      <c r="C27" s="8" t="s">
        <v>648</v>
      </c>
      <c r="D27" s="8" t="s">
        <v>649</v>
      </c>
      <c r="E27" s="8" t="s">
        <v>650</v>
      </c>
      <c r="F27" s="24"/>
      <c r="G27" s="8"/>
      <c r="H27" s="8"/>
      <c r="I27" s="8"/>
    </row>
    <row r="28" spans="1:9" x14ac:dyDescent="0.25">
      <c r="A28" s="25" t="s">
        <v>651</v>
      </c>
      <c r="B28" s="28" t="s">
        <v>6</v>
      </c>
      <c r="C28" s="5" t="s">
        <v>652</v>
      </c>
      <c r="D28" s="5" t="s">
        <v>653</v>
      </c>
      <c r="E28" s="5" t="s">
        <v>654</v>
      </c>
      <c r="F28" s="26"/>
      <c r="G28" s="5"/>
      <c r="H28" s="5"/>
      <c r="I28" s="5"/>
    </row>
    <row r="30" spans="1:9" x14ac:dyDescent="0.25">
      <c r="A30" s="13" t="s">
        <v>137</v>
      </c>
    </row>
    <row r="31" spans="1:9" x14ac:dyDescent="0.25">
      <c r="A31" t="s">
        <v>138</v>
      </c>
      <c r="B31">
        <v>24</v>
      </c>
    </row>
    <row r="32" spans="1:9" x14ac:dyDescent="0.25">
      <c r="A32" t="s">
        <v>139</v>
      </c>
      <c r="B32">
        <f>COUNTIF(F5:F28,"PASS")</f>
        <v>0</v>
      </c>
    </row>
    <row r="33" spans="1:2" x14ac:dyDescent="0.25">
      <c r="A33" t="s">
        <v>140</v>
      </c>
      <c r="B33">
        <f>COUNTIF(F5:F28,"FAIL")</f>
        <v>0</v>
      </c>
    </row>
    <row r="34" spans="1:2" x14ac:dyDescent="0.25">
      <c r="A34" t="s">
        <v>141</v>
      </c>
      <c r="B34">
        <f>COUNTIF(F5:F28,"BLOCKED")</f>
        <v>0</v>
      </c>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A111E"/>
  </sheetPr>
  <dimension ref="A1:J26"/>
  <sheetViews>
    <sheetView topLeftCell="A16" zoomScaleNormal="100" workbookViewId="0">
      <selection sqref="A1:J1"/>
    </sheetView>
  </sheetViews>
  <sheetFormatPr defaultColWidth="8.7109375" defaultRowHeight="15" x14ac:dyDescent="0.25"/>
  <cols>
    <col min="1" max="1" width="8" customWidth="1"/>
    <col min="2" max="2" width="12" customWidth="1"/>
    <col min="3" max="4" width="55" customWidth="1"/>
    <col min="5" max="5" width="50" customWidth="1"/>
    <col min="6" max="6" width="12" customWidth="1"/>
    <col min="7" max="7" width="18" customWidth="1"/>
    <col min="8" max="8" width="30" customWidth="1"/>
    <col min="9" max="9" width="18" customWidth="1"/>
  </cols>
  <sheetData>
    <row r="1" spans="1:10" ht="18" x14ac:dyDescent="0.25">
      <c r="A1" s="2" t="s">
        <v>655</v>
      </c>
      <c r="B1" s="2"/>
      <c r="C1" s="2"/>
      <c r="D1" s="2"/>
      <c r="E1" s="2"/>
      <c r="F1" s="2"/>
      <c r="G1" s="2"/>
      <c r="H1" s="2"/>
      <c r="I1" s="2"/>
      <c r="J1" s="2"/>
    </row>
    <row r="2" spans="1:10" x14ac:dyDescent="0.25">
      <c r="A2" s="1" t="s">
        <v>51</v>
      </c>
      <c r="B2" s="1"/>
      <c r="C2" s="1"/>
      <c r="D2" s="1"/>
      <c r="E2" s="1"/>
      <c r="F2" s="1"/>
      <c r="G2" s="1"/>
      <c r="H2" s="1"/>
      <c r="I2" s="1"/>
      <c r="J2" s="1"/>
    </row>
    <row r="4" spans="1:10" x14ac:dyDescent="0.25">
      <c r="A4" s="3" t="s">
        <v>52</v>
      </c>
      <c r="B4" s="3" t="s">
        <v>53</v>
      </c>
      <c r="C4" s="3" t="s">
        <v>54</v>
      </c>
      <c r="D4" s="3" t="s">
        <v>55</v>
      </c>
      <c r="E4" s="3" t="s">
        <v>56</v>
      </c>
      <c r="F4" s="3" t="s">
        <v>57</v>
      </c>
      <c r="G4" s="3" t="s">
        <v>58</v>
      </c>
      <c r="H4" s="3" t="s">
        <v>59</v>
      </c>
      <c r="I4" s="3" t="s">
        <v>60</v>
      </c>
    </row>
    <row r="5" spans="1:10" ht="25.5" x14ac:dyDescent="0.25">
      <c r="A5" s="22" t="s">
        <v>656</v>
      </c>
      <c r="B5" s="23" t="s">
        <v>4</v>
      </c>
      <c r="C5" s="8" t="s">
        <v>657</v>
      </c>
      <c r="D5" s="8" t="s">
        <v>658</v>
      </c>
      <c r="E5" s="8" t="s">
        <v>659</v>
      </c>
      <c r="F5" s="24"/>
      <c r="G5" s="8" t="s">
        <v>660</v>
      </c>
      <c r="H5" s="8"/>
      <c r="I5" s="8"/>
    </row>
    <row r="6" spans="1:10" ht="25.5" x14ac:dyDescent="0.25">
      <c r="A6" s="25" t="s">
        <v>661</v>
      </c>
      <c r="B6" s="23" t="s">
        <v>4</v>
      </c>
      <c r="C6" s="5" t="s">
        <v>662</v>
      </c>
      <c r="D6" s="5" t="s">
        <v>663</v>
      </c>
      <c r="E6" s="5" t="s">
        <v>664</v>
      </c>
      <c r="F6" s="26"/>
      <c r="G6" s="5" t="s">
        <v>665</v>
      </c>
      <c r="H6" s="5"/>
      <c r="I6" s="5"/>
    </row>
    <row r="7" spans="1:10" ht="25.5" x14ac:dyDescent="0.25">
      <c r="A7" s="22" t="s">
        <v>666</v>
      </c>
      <c r="B7" s="23" t="s">
        <v>4</v>
      </c>
      <c r="C7" s="8" t="s">
        <v>667</v>
      </c>
      <c r="D7" s="8" t="s">
        <v>668</v>
      </c>
      <c r="E7" s="8" t="s">
        <v>669</v>
      </c>
      <c r="F7" s="24"/>
      <c r="G7" s="8" t="s">
        <v>670</v>
      </c>
      <c r="H7" s="8"/>
      <c r="I7" s="8"/>
    </row>
    <row r="8" spans="1:10" x14ac:dyDescent="0.25">
      <c r="A8" s="25" t="s">
        <v>671</v>
      </c>
      <c r="B8" s="23" t="s">
        <v>4</v>
      </c>
      <c r="C8" s="5" t="s">
        <v>672</v>
      </c>
      <c r="D8" s="5" t="s">
        <v>673</v>
      </c>
      <c r="E8" s="5" t="s">
        <v>674</v>
      </c>
      <c r="F8" s="26"/>
      <c r="G8" s="5" t="s">
        <v>675</v>
      </c>
      <c r="H8" s="5"/>
      <c r="I8" s="5"/>
    </row>
    <row r="9" spans="1:10" x14ac:dyDescent="0.25">
      <c r="A9" s="22" t="s">
        <v>676</v>
      </c>
      <c r="B9" s="27" t="s">
        <v>5</v>
      </c>
      <c r="C9" s="8" t="s">
        <v>677</v>
      </c>
      <c r="D9" s="8" t="s">
        <v>678</v>
      </c>
      <c r="E9" s="8" t="s">
        <v>679</v>
      </c>
      <c r="F9" s="24"/>
      <c r="G9" s="8"/>
      <c r="H9" s="8"/>
      <c r="I9" s="8"/>
    </row>
    <row r="10" spans="1:10" x14ac:dyDescent="0.25">
      <c r="A10" s="25" t="s">
        <v>680</v>
      </c>
      <c r="B10" s="27" t="s">
        <v>5</v>
      </c>
      <c r="C10" s="5" t="s">
        <v>681</v>
      </c>
      <c r="D10" s="5" t="s">
        <v>682</v>
      </c>
      <c r="E10" s="5" t="s">
        <v>683</v>
      </c>
      <c r="F10" s="26"/>
      <c r="G10" s="5"/>
      <c r="H10" s="5"/>
      <c r="I10" s="5"/>
    </row>
    <row r="11" spans="1:10" x14ac:dyDescent="0.25">
      <c r="A11" s="22" t="s">
        <v>684</v>
      </c>
      <c r="B11" s="27" t="s">
        <v>5</v>
      </c>
      <c r="C11" s="8" t="s">
        <v>685</v>
      </c>
      <c r="D11" s="8" t="s">
        <v>686</v>
      </c>
      <c r="E11" s="8" t="s">
        <v>687</v>
      </c>
      <c r="F11" s="24"/>
      <c r="G11" s="8" t="s">
        <v>665</v>
      </c>
      <c r="H11" s="8"/>
      <c r="I11" s="8"/>
    </row>
    <row r="12" spans="1:10" x14ac:dyDescent="0.25">
      <c r="A12" s="25" t="s">
        <v>688</v>
      </c>
      <c r="B12" s="27" t="s">
        <v>5</v>
      </c>
      <c r="C12" s="5" t="s">
        <v>689</v>
      </c>
      <c r="D12" s="5" t="s">
        <v>690</v>
      </c>
      <c r="E12" s="5" t="s">
        <v>691</v>
      </c>
      <c r="F12" s="26"/>
      <c r="G12" s="5"/>
      <c r="H12" s="5"/>
      <c r="I12" s="5"/>
    </row>
    <row r="13" spans="1:10" x14ac:dyDescent="0.25">
      <c r="A13" s="22" t="s">
        <v>692</v>
      </c>
      <c r="B13" s="27" t="s">
        <v>5</v>
      </c>
      <c r="C13" s="8" t="s">
        <v>693</v>
      </c>
      <c r="D13" s="8" t="s">
        <v>694</v>
      </c>
      <c r="E13" s="8" t="s">
        <v>695</v>
      </c>
      <c r="F13" s="24"/>
      <c r="G13" s="8" t="s">
        <v>665</v>
      </c>
      <c r="H13" s="8"/>
      <c r="I13" s="8"/>
    </row>
    <row r="14" spans="1:10" x14ac:dyDescent="0.25">
      <c r="A14" s="25" t="s">
        <v>696</v>
      </c>
      <c r="B14" s="27" t="s">
        <v>5</v>
      </c>
      <c r="C14" s="5" t="s">
        <v>697</v>
      </c>
      <c r="D14" s="5" t="s">
        <v>698</v>
      </c>
      <c r="E14" s="5" t="s">
        <v>699</v>
      </c>
      <c r="F14" s="26"/>
      <c r="G14" s="5"/>
      <c r="H14" s="5"/>
      <c r="I14" s="5"/>
    </row>
    <row r="15" spans="1:10" ht="25.5" x14ac:dyDescent="0.25">
      <c r="A15" s="22" t="s">
        <v>700</v>
      </c>
      <c r="B15" s="27" t="s">
        <v>5</v>
      </c>
      <c r="C15" s="8" t="s">
        <v>701</v>
      </c>
      <c r="D15" s="8" t="s">
        <v>702</v>
      </c>
      <c r="E15" s="8" t="s">
        <v>703</v>
      </c>
      <c r="F15" s="24"/>
      <c r="G15" s="8"/>
      <c r="H15" s="8"/>
      <c r="I15" s="8"/>
    </row>
    <row r="16" spans="1:10" x14ac:dyDescent="0.25">
      <c r="A16" s="25" t="s">
        <v>704</v>
      </c>
      <c r="B16" s="28" t="s">
        <v>6</v>
      </c>
      <c r="C16" s="5" t="s">
        <v>705</v>
      </c>
      <c r="D16" s="5" t="s">
        <v>706</v>
      </c>
      <c r="E16" s="5" t="s">
        <v>707</v>
      </c>
      <c r="F16" s="26"/>
      <c r="G16" s="5"/>
      <c r="H16" s="5"/>
      <c r="I16" s="5"/>
    </row>
    <row r="17" spans="1:9" x14ac:dyDescent="0.25">
      <c r="A17" s="22" t="s">
        <v>708</v>
      </c>
      <c r="B17" s="28" t="s">
        <v>6</v>
      </c>
      <c r="C17" s="8" t="s">
        <v>709</v>
      </c>
      <c r="D17" s="8" t="s">
        <v>710</v>
      </c>
      <c r="E17" s="8" t="s">
        <v>711</v>
      </c>
      <c r="F17" s="24"/>
      <c r="G17" s="8" t="s">
        <v>712</v>
      </c>
      <c r="H17" s="8"/>
      <c r="I17" s="8"/>
    </row>
    <row r="18" spans="1:9" ht="38.25" x14ac:dyDescent="0.25">
      <c r="A18" s="25" t="s">
        <v>713</v>
      </c>
      <c r="B18" s="27" t="s">
        <v>5</v>
      </c>
      <c r="C18" s="5" t="s">
        <v>714</v>
      </c>
      <c r="D18" s="5" t="s">
        <v>715</v>
      </c>
      <c r="E18" s="5" t="s">
        <v>716</v>
      </c>
      <c r="F18" s="26"/>
      <c r="G18" s="5" t="s">
        <v>660</v>
      </c>
      <c r="H18" s="5"/>
      <c r="I18" s="5"/>
    </row>
    <row r="19" spans="1:9" x14ac:dyDescent="0.25">
      <c r="A19" s="22" t="s">
        <v>717</v>
      </c>
      <c r="B19" s="28" t="s">
        <v>6</v>
      </c>
      <c r="C19" s="8" t="s">
        <v>718</v>
      </c>
      <c r="D19" s="8" t="s">
        <v>719</v>
      </c>
      <c r="E19" s="8" t="s">
        <v>720</v>
      </c>
      <c r="F19" s="24"/>
      <c r="G19" s="8"/>
      <c r="H19" s="8"/>
      <c r="I19" s="8"/>
    </row>
    <row r="20" spans="1:9" x14ac:dyDescent="0.25">
      <c r="A20" s="25" t="s">
        <v>721</v>
      </c>
      <c r="B20" s="28" t="s">
        <v>6</v>
      </c>
      <c r="C20" s="5" t="s">
        <v>722</v>
      </c>
      <c r="D20" s="5" t="s">
        <v>723</v>
      </c>
      <c r="E20" s="5" t="s">
        <v>724</v>
      </c>
      <c r="F20" s="26"/>
      <c r="G20" s="5"/>
      <c r="H20" s="5"/>
      <c r="I20" s="5"/>
    </row>
    <row r="22" spans="1:9" x14ac:dyDescent="0.25">
      <c r="A22" s="13" t="s">
        <v>137</v>
      </c>
    </row>
    <row r="23" spans="1:9" x14ac:dyDescent="0.25">
      <c r="A23" t="s">
        <v>138</v>
      </c>
      <c r="B23">
        <v>16</v>
      </c>
    </row>
    <row r="24" spans="1:9" x14ac:dyDescent="0.25">
      <c r="A24" t="s">
        <v>139</v>
      </c>
      <c r="B24">
        <f>COUNTIF(F5:F20,"PASS")</f>
        <v>0</v>
      </c>
    </row>
    <row r="25" spans="1:9" x14ac:dyDescent="0.25">
      <c r="A25" t="s">
        <v>140</v>
      </c>
      <c r="B25">
        <f>COUNTIF(F5:F20,"FAIL")</f>
        <v>0</v>
      </c>
    </row>
    <row r="26" spans="1:9" x14ac:dyDescent="0.25">
      <c r="A26" t="s">
        <v>141</v>
      </c>
      <c r="B26">
        <f>COUNTIF(F5:F20,"BLOCKED")</f>
        <v>0</v>
      </c>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A111E"/>
  </sheetPr>
  <dimension ref="A1:J28"/>
  <sheetViews>
    <sheetView topLeftCell="A10" zoomScaleNormal="100" workbookViewId="0">
      <selection sqref="A1:J1"/>
    </sheetView>
  </sheetViews>
  <sheetFormatPr defaultColWidth="8.7109375" defaultRowHeight="15" x14ac:dyDescent="0.25"/>
  <cols>
    <col min="1" max="1" width="8" customWidth="1"/>
    <col min="2" max="2" width="12" customWidth="1"/>
    <col min="3" max="4" width="55" customWidth="1"/>
    <col min="5" max="5" width="50" customWidth="1"/>
    <col min="6" max="6" width="12" customWidth="1"/>
    <col min="7" max="7" width="18" customWidth="1"/>
    <col min="8" max="8" width="30" customWidth="1"/>
    <col min="9" max="9" width="18" customWidth="1"/>
  </cols>
  <sheetData>
    <row r="1" spans="1:10" ht="18" x14ac:dyDescent="0.25">
      <c r="A1" s="2" t="s">
        <v>725</v>
      </c>
      <c r="B1" s="2"/>
      <c r="C1" s="2"/>
      <c r="D1" s="2"/>
      <c r="E1" s="2"/>
      <c r="F1" s="2"/>
      <c r="G1" s="2"/>
      <c r="H1" s="2"/>
      <c r="I1" s="2"/>
      <c r="J1" s="2"/>
    </row>
    <row r="2" spans="1:10" x14ac:dyDescent="0.25">
      <c r="A2" s="1" t="s">
        <v>51</v>
      </c>
      <c r="B2" s="1"/>
      <c r="C2" s="1"/>
      <c r="D2" s="1"/>
      <c r="E2" s="1"/>
      <c r="F2" s="1"/>
      <c r="G2" s="1"/>
      <c r="H2" s="1"/>
      <c r="I2" s="1"/>
      <c r="J2" s="1"/>
    </row>
    <row r="4" spans="1:10" x14ac:dyDescent="0.25">
      <c r="A4" s="3" t="s">
        <v>52</v>
      </c>
      <c r="B4" s="3" t="s">
        <v>53</v>
      </c>
      <c r="C4" s="3" t="s">
        <v>54</v>
      </c>
      <c r="D4" s="3" t="s">
        <v>55</v>
      </c>
      <c r="E4" s="3" t="s">
        <v>56</v>
      </c>
      <c r="F4" s="3" t="s">
        <v>57</v>
      </c>
      <c r="G4" s="3" t="s">
        <v>58</v>
      </c>
      <c r="H4" s="3" t="s">
        <v>59</v>
      </c>
      <c r="I4" s="3" t="s">
        <v>60</v>
      </c>
    </row>
    <row r="5" spans="1:10" ht="25.5" x14ac:dyDescent="0.25">
      <c r="A5" s="22" t="s">
        <v>726</v>
      </c>
      <c r="B5" s="23" t="s">
        <v>4</v>
      </c>
      <c r="C5" s="8" t="s">
        <v>727</v>
      </c>
      <c r="D5" s="8" t="s">
        <v>728</v>
      </c>
      <c r="E5" s="8" t="s">
        <v>729</v>
      </c>
      <c r="F5" s="24"/>
      <c r="G5" s="8"/>
      <c r="H5" s="8"/>
      <c r="I5" s="8"/>
    </row>
    <row r="6" spans="1:10" ht="25.5" x14ac:dyDescent="0.25">
      <c r="A6" s="25" t="s">
        <v>730</v>
      </c>
      <c r="B6" s="27" t="s">
        <v>5</v>
      </c>
      <c r="C6" s="5" t="s">
        <v>731</v>
      </c>
      <c r="D6" s="5" t="s">
        <v>732</v>
      </c>
      <c r="E6" s="5" t="s">
        <v>733</v>
      </c>
      <c r="F6" s="26"/>
      <c r="G6" s="5"/>
      <c r="H6" s="5"/>
      <c r="I6" s="5"/>
    </row>
    <row r="7" spans="1:10" ht="25.5" x14ac:dyDescent="0.25">
      <c r="A7" s="22" t="s">
        <v>734</v>
      </c>
      <c r="B7" s="27" t="s">
        <v>5</v>
      </c>
      <c r="C7" s="8" t="s">
        <v>735</v>
      </c>
      <c r="D7" s="8" t="s">
        <v>736</v>
      </c>
      <c r="E7" s="8" t="s">
        <v>737</v>
      </c>
      <c r="F7" s="24"/>
      <c r="G7" s="8"/>
      <c r="H7" s="8"/>
      <c r="I7" s="8"/>
    </row>
    <row r="8" spans="1:10" ht="25.5" x14ac:dyDescent="0.25">
      <c r="A8" s="25" t="s">
        <v>738</v>
      </c>
      <c r="B8" s="27" t="s">
        <v>5</v>
      </c>
      <c r="C8" s="5" t="s">
        <v>739</v>
      </c>
      <c r="D8" s="5" t="s">
        <v>740</v>
      </c>
      <c r="E8" s="5" t="s">
        <v>741</v>
      </c>
      <c r="F8" s="26"/>
      <c r="G8" s="5"/>
      <c r="H8" s="5"/>
      <c r="I8" s="5"/>
    </row>
    <row r="9" spans="1:10" ht="25.5" x14ac:dyDescent="0.25">
      <c r="A9" s="22" t="s">
        <v>742</v>
      </c>
      <c r="B9" s="27" t="s">
        <v>5</v>
      </c>
      <c r="C9" s="8" t="s">
        <v>743</v>
      </c>
      <c r="D9" s="8" t="s">
        <v>744</v>
      </c>
      <c r="E9" s="8" t="s">
        <v>745</v>
      </c>
      <c r="F9" s="24"/>
      <c r="G9" s="8"/>
      <c r="H9" s="8"/>
      <c r="I9" s="8"/>
    </row>
    <row r="10" spans="1:10" x14ac:dyDescent="0.25">
      <c r="A10" s="25" t="s">
        <v>746</v>
      </c>
      <c r="B10" s="27" t="s">
        <v>5</v>
      </c>
      <c r="C10" s="5" t="s">
        <v>747</v>
      </c>
      <c r="D10" s="5" t="s">
        <v>748</v>
      </c>
      <c r="E10" s="5" t="s">
        <v>749</v>
      </c>
      <c r="F10" s="26"/>
      <c r="G10" s="5"/>
      <c r="H10" s="5"/>
      <c r="I10" s="5"/>
    </row>
    <row r="11" spans="1:10" x14ac:dyDescent="0.25">
      <c r="A11" s="22" t="s">
        <v>750</v>
      </c>
      <c r="B11" s="27" t="s">
        <v>5</v>
      </c>
      <c r="C11" s="8" t="s">
        <v>751</v>
      </c>
      <c r="D11" s="8" t="s">
        <v>752</v>
      </c>
      <c r="E11" s="8" t="s">
        <v>753</v>
      </c>
      <c r="F11" s="24"/>
      <c r="G11" s="8"/>
      <c r="H11" s="8"/>
      <c r="I11" s="8"/>
    </row>
    <row r="12" spans="1:10" x14ac:dyDescent="0.25">
      <c r="A12" s="25" t="s">
        <v>754</v>
      </c>
      <c r="B12" s="27" t="s">
        <v>5</v>
      </c>
      <c r="C12" s="5" t="s">
        <v>755</v>
      </c>
      <c r="D12" s="5" t="s">
        <v>756</v>
      </c>
      <c r="E12" s="5" t="s">
        <v>757</v>
      </c>
      <c r="F12" s="26"/>
      <c r="G12" s="5"/>
      <c r="H12" s="5"/>
      <c r="I12" s="5"/>
    </row>
    <row r="13" spans="1:10" x14ac:dyDescent="0.25">
      <c r="A13" s="22" t="s">
        <v>758</v>
      </c>
      <c r="B13" s="27" t="s">
        <v>5</v>
      </c>
      <c r="C13" s="8" t="s">
        <v>759</v>
      </c>
      <c r="D13" s="8" t="s">
        <v>760</v>
      </c>
      <c r="E13" s="8" t="s">
        <v>761</v>
      </c>
      <c r="F13" s="24"/>
      <c r="G13" s="8"/>
      <c r="H13" s="8"/>
      <c r="I13" s="8"/>
    </row>
    <row r="14" spans="1:10" x14ac:dyDescent="0.25">
      <c r="A14" s="25" t="s">
        <v>762</v>
      </c>
      <c r="B14" s="27" t="s">
        <v>5</v>
      </c>
      <c r="C14" s="5" t="s">
        <v>763</v>
      </c>
      <c r="D14" s="5" t="s">
        <v>764</v>
      </c>
      <c r="E14" s="5" t="s">
        <v>765</v>
      </c>
      <c r="F14" s="26"/>
      <c r="G14" s="5"/>
      <c r="H14" s="5"/>
      <c r="I14" s="5"/>
    </row>
    <row r="15" spans="1:10" x14ac:dyDescent="0.25">
      <c r="A15" s="22" t="s">
        <v>766</v>
      </c>
      <c r="B15" s="28" t="s">
        <v>6</v>
      </c>
      <c r="C15" s="8" t="s">
        <v>767</v>
      </c>
      <c r="D15" s="8" t="s">
        <v>768</v>
      </c>
      <c r="E15" s="8" t="s">
        <v>769</v>
      </c>
      <c r="F15" s="24"/>
      <c r="G15" s="8"/>
      <c r="H15" s="8"/>
      <c r="I15" s="8"/>
    </row>
    <row r="16" spans="1:10" x14ac:dyDescent="0.25">
      <c r="A16" s="25" t="s">
        <v>770</v>
      </c>
      <c r="B16" s="28" t="s">
        <v>6</v>
      </c>
      <c r="C16" s="5" t="s">
        <v>771</v>
      </c>
      <c r="D16" s="5" t="s">
        <v>772</v>
      </c>
      <c r="E16" s="5" t="s">
        <v>773</v>
      </c>
      <c r="F16" s="26"/>
      <c r="G16" s="5"/>
      <c r="H16" s="5"/>
      <c r="I16" s="5"/>
    </row>
    <row r="17" spans="1:9" x14ac:dyDescent="0.25">
      <c r="A17" s="22" t="s">
        <v>774</v>
      </c>
      <c r="B17" s="28" t="s">
        <v>6</v>
      </c>
      <c r="C17" s="8" t="s">
        <v>775</v>
      </c>
      <c r="D17" s="8" t="s">
        <v>776</v>
      </c>
      <c r="E17" s="8" t="s">
        <v>777</v>
      </c>
      <c r="F17" s="24"/>
      <c r="G17" s="8"/>
      <c r="H17" s="8"/>
      <c r="I17" s="8"/>
    </row>
    <row r="18" spans="1:9" x14ac:dyDescent="0.25">
      <c r="A18" s="25" t="s">
        <v>778</v>
      </c>
      <c r="B18" s="28" t="s">
        <v>6</v>
      </c>
      <c r="C18" s="5" t="s">
        <v>779</v>
      </c>
      <c r="D18" s="5" t="s">
        <v>780</v>
      </c>
      <c r="E18" s="5" t="s">
        <v>777</v>
      </c>
      <c r="F18" s="26"/>
      <c r="G18" s="5"/>
      <c r="H18" s="5"/>
      <c r="I18" s="5"/>
    </row>
    <row r="19" spans="1:9" x14ac:dyDescent="0.25">
      <c r="A19" s="22" t="s">
        <v>781</v>
      </c>
      <c r="B19" s="28" t="s">
        <v>6</v>
      </c>
      <c r="C19" s="8" t="s">
        <v>782</v>
      </c>
      <c r="D19" s="8" t="s">
        <v>783</v>
      </c>
      <c r="E19" s="8" t="s">
        <v>784</v>
      </c>
      <c r="F19" s="24"/>
      <c r="G19" s="8"/>
      <c r="H19" s="8"/>
      <c r="I19" s="8"/>
    </row>
    <row r="20" spans="1:9" x14ac:dyDescent="0.25">
      <c r="A20" s="25" t="s">
        <v>785</v>
      </c>
      <c r="B20" s="28" t="s">
        <v>6</v>
      </c>
      <c r="C20" s="5" t="s">
        <v>786</v>
      </c>
      <c r="D20" s="5" t="s">
        <v>787</v>
      </c>
      <c r="E20" s="5" t="s">
        <v>788</v>
      </c>
      <c r="F20" s="26"/>
      <c r="G20" s="5"/>
      <c r="H20" s="5"/>
      <c r="I20" s="5"/>
    </row>
    <row r="21" spans="1:9" ht="25.5" x14ac:dyDescent="0.25">
      <c r="A21" s="22" t="s">
        <v>789</v>
      </c>
      <c r="B21" s="27" t="s">
        <v>5</v>
      </c>
      <c r="C21" s="8" t="s">
        <v>790</v>
      </c>
      <c r="D21" s="8" t="s">
        <v>791</v>
      </c>
      <c r="E21" s="8" t="s">
        <v>792</v>
      </c>
      <c r="F21" s="24"/>
      <c r="G21" s="8" t="s">
        <v>793</v>
      </c>
      <c r="H21" s="8"/>
      <c r="I21" s="8"/>
    </row>
    <row r="22" spans="1:9" x14ac:dyDescent="0.25">
      <c r="A22" s="25" t="s">
        <v>794</v>
      </c>
      <c r="B22" s="28" t="s">
        <v>6</v>
      </c>
      <c r="C22" s="5" t="s">
        <v>795</v>
      </c>
      <c r="D22" s="5" t="s">
        <v>796</v>
      </c>
      <c r="E22" s="5" t="s">
        <v>797</v>
      </c>
      <c r="F22" s="26"/>
      <c r="G22" s="5"/>
      <c r="H22" s="5"/>
      <c r="I22" s="5"/>
    </row>
    <row r="24" spans="1:9" x14ac:dyDescent="0.25">
      <c r="A24" s="13" t="s">
        <v>137</v>
      </c>
    </row>
    <row r="25" spans="1:9" x14ac:dyDescent="0.25">
      <c r="A25" t="s">
        <v>138</v>
      </c>
      <c r="B25">
        <v>18</v>
      </c>
    </row>
    <row r="26" spans="1:9" x14ac:dyDescent="0.25">
      <c r="A26" t="s">
        <v>139</v>
      </c>
      <c r="B26">
        <f>COUNTIF(F5:F22,"PASS")</f>
        <v>0</v>
      </c>
    </row>
    <row r="27" spans="1:9" x14ac:dyDescent="0.25">
      <c r="A27" t="s">
        <v>140</v>
      </c>
      <c r="B27">
        <f>COUNTIF(F5:F22,"FAIL")</f>
        <v>0</v>
      </c>
    </row>
    <row r="28" spans="1:9" x14ac:dyDescent="0.25">
      <c r="A28" t="s">
        <v>141</v>
      </c>
      <c r="B28">
        <f>COUNTIF(F5:F22,"BLOCKED")</f>
        <v>0</v>
      </c>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A111E"/>
  </sheetPr>
  <dimension ref="A1:J30"/>
  <sheetViews>
    <sheetView zoomScaleNormal="100" workbookViewId="0"/>
  </sheetViews>
  <sheetFormatPr defaultColWidth="8.7109375" defaultRowHeight="15" x14ac:dyDescent="0.25"/>
  <cols>
    <col min="1" max="1" width="8" customWidth="1"/>
    <col min="2" max="2" width="12" customWidth="1"/>
    <col min="3" max="4" width="55" customWidth="1"/>
    <col min="5" max="5" width="50" customWidth="1"/>
    <col min="6" max="6" width="12" customWidth="1"/>
    <col min="7" max="7" width="18" customWidth="1"/>
    <col min="8" max="8" width="30" customWidth="1"/>
    <col min="9" max="9" width="18" customWidth="1"/>
  </cols>
  <sheetData>
    <row r="1" spans="1:10" ht="18" x14ac:dyDescent="0.25">
      <c r="A1" s="2" t="s">
        <v>798</v>
      </c>
      <c r="B1" s="2"/>
      <c r="C1" s="2"/>
      <c r="D1" s="2"/>
      <c r="E1" s="2"/>
      <c r="F1" s="2"/>
      <c r="G1" s="2"/>
      <c r="H1" s="2"/>
      <c r="I1" s="2"/>
      <c r="J1" s="2"/>
    </row>
    <row r="2" spans="1:10" x14ac:dyDescent="0.25">
      <c r="A2" s="1" t="s">
        <v>51</v>
      </c>
      <c r="B2" s="1"/>
      <c r="C2" s="1"/>
      <c r="D2" s="1"/>
      <c r="E2" s="1"/>
      <c r="F2" s="1"/>
      <c r="G2" s="1"/>
      <c r="H2" s="1"/>
      <c r="I2" s="1"/>
      <c r="J2" s="1"/>
    </row>
    <row r="4" spans="1:10" x14ac:dyDescent="0.25">
      <c r="A4" s="3" t="s">
        <v>52</v>
      </c>
      <c r="B4" s="3" t="s">
        <v>53</v>
      </c>
      <c r="C4" s="3" t="s">
        <v>54</v>
      </c>
      <c r="D4" s="3" t="s">
        <v>55</v>
      </c>
      <c r="E4" s="3" t="s">
        <v>56</v>
      </c>
      <c r="F4" s="3" t="s">
        <v>57</v>
      </c>
      <c r="G4" s="3" t="s">
        <v>58</v>
      </c>
      <c r="H4" s="3" t="s">
        <v>59</v>
      </c>
      <c r="I4" s="3" t="s">
        <v>60</v>
      </c>
    </row>
    <row r="5" spans="1:10" ht="25.5" x14ac:dyDescent="0.25">
      <c r="A5" s="22" t="s">
        <v>799</v>
      </c>
      <c r="B5" s="23" t="s">
        <v>4</v>
      </c>
      <c r="C5" s="8" t="s">
        <v>800</v>
      </c>
      <c r="D5" s="8" t="s">
        <v>801</v>
      </c>
      <c r="E5" s="8" t="s">
        <v>802</v>
      </c>
      <c r="F5" s="24"/>
      <c r="G5" s="8" t="s">
        <v>803</v>
      </c>
      <c r="H5" s="8"/>
      <c r="I5" s="8"/>
    </row>
    <row r="6" spans="1:10" x14ac:dyDescent="0.25">
      <c r="A6" s="25" t="s">
        <v>804</v>
      </c>
      <c r="B6" s="23" t="s">
        <v>4</v>
      </c>
      <c r="C6" s="5" t="s">
        <v>805</v>
      </c>
      <c r="D6" s="5" t="s">
        <v>806</v>
      </c>
      <c r="E6" s="5" t="s">
        <v>807</v>
      </c>
      <c r="F6" s="26"/>
      <c r="G6" s="5" t="s">
        <v>808</v>
      </c>
      <c r="H6" s="5"/>
      <c r="I6" s="5"/>
    </row>
    <row r="7" spans="1:10" ht="25.5" x14ac:dyDescent="0.25">
      <c r="A7" s="22" t="s">
        <v>809</v>
      </c>
      <c r="B7" s="23" t="s">
        <v>4</v>
      </c>
      <c r="C7" s="8" t="s">
        <v>810</v>
      </c>
      <c r="D7" s="8" t="s">
        <v>811</v>
      </c>
      <c r="E7" s="8" t="s">
        <v>812</v>
      </c>
      <c r="F7" s="24"/>
      <c r="G7" s="8" t="s">
        <v>808</v>
      </c>
      <c r="H7" s="8"/>
      <c r="I7" s="8"/>
    </row>
    <row r="8" spans="1:10" x14ac:dyDescent="0.25">
      <c r="A8" s="25" t="s">
        <v>813</v>
      </c>
      <c r="B8" s="23" t="s">
        <v>4</v>
      </c>
      <c r="C8" s="5" t="s">
        <v>814</v>
      </c>
      <c r="D8" s="5" t="s">
        <v>815</v>
      </c>
      <c r="E8" s="5" t="s">
        <v>816</v>
      </c>
      <c r="F8" s="26"/>
      <c r="G8" s="5" t="s">
        <v>817</v>
      </c>
      <c r="H8" s="5"/>
      <c r="I8" s="5"/>
    </row>
    <row r="9" spans="1:10" x14ac:dyDescent="0.25">
      <c r="A9" s="22" t="s">
        <v>818</v>
      </c>
      <c r="B9" s="27" t="s">
        <v>5</v>
      </c>
      <c r="C9" s="8" t="s">
        <v>819</v>
      </c>
      <c r="D9" s="8" t="s">
        <v>820</v>
      </c>
      <c r="E9" s="8" t="s">
        <v>821</v>
      </c>
      <c r="F9" s="24"/>
      <c r="G9" s="8" t="s">
        <v>361</v>
      </c>
      <c r="H9" s="8"/>
      <c r="I9" s="8"/>
    </row>
    <row r="10" spans="1:10" x14ac:dyDescent="0.25">
      <c r="A10" s="25" t="s">
        <v>822</v>
      </c>
      <c r="B10" s="27" t="s">
        <v>5</v>
      </c>
      <c r="C10" s="5" t="s">
        <v>823</v>
      </c>
      <c r="D10" s="5" t="s">
        <v>824</v>
      </c>
      <c r="E10" s="5" t="s">
        <v>825</v>
      </c>
      <c r="F10" s="26"/>
      <c r="G10" s="5" t="s">
        <v>361</v>
      </c>
      <c r="H10" s="5"/>
      <c r="I10" s="5"/>
    </row>
    <row r="11" spans="1:10" x14ac:dyDescent="0.25">
      <c r="A11" s="22" t="s">
        <v>826</v>
      </c>
      <c r="B11" s="27" t="s">
        <v>5</v>
      </c>
      <c r="C11" s="8" t="s">
        <v>428</v>
      </c>
      <c r="D11" s="8" t="s">
        <v>827</v>
      </c>
      <c r="E11" s="8" t="s">
        <v>828</v>
      </c>
      <c r="F11" s="24"/>
      <c r="G11" s="8" t="s">
        <v>361</v>
      </c>
      <c r="H11" s="8"/>
      <c r="I11" s="8"/>
    </row>
    <row r="12" spans="1:10" x14ac:dyDescent="0.25">
      <c r="A12" s="25" t="s">
        <v>829</v>
      </c>
      <c r="B12" s="27" t="s">
        <v>5</v>
      </c>
      <c r="C12" s="5" t="s">
        <v>830</v>
      </c>
      <c r="D12" s="5" t="s">
        <v>831</v>
      </c>
      <c r="E12" s="5" t="s">
        <v>832</v>
      </c>
      <c r="F12" s="26"/>
      <c r="G12" s="5" t="s">
        <v>489</v>
      </c>
      <c r="H12" s="5"/>
      <c r="I12" s="5"/>
    </row>
    <row r="13" spans="1:10" x14ac:dyDescent="0.25">
      <c r="A13" s="22" t="s">
        <v>833</v>
      </c>
      <c r="B13" s="27" t="s">
        <v>5</v>
      </c>
      <c r="C13" s="8" t="s">
        <v>834</v>
      </c>
      <c r="D13" s="8" t="s">
        <v>835</v>
      </c>
      <c r="E13" s="8" t="s">
        <v>836</v>
      </c>
      <c r="F13" s="24"/>
      <c r="G13" s="8"/>
      <c r="H13" s="8"/>
      <c r="I13" s="8"/>
    </row>
    <row r="14" spans="1:10" x14ac:dyDescent="0.25">
      <c r="A14" s="25" t="s">
        <v>837</v>
      </c>
      <c r="B14" s="27" t="s">
        <v>5</v>
      </c>
      <c r="C14" s="5" t="s">
        <v>838</v>
      </c>
      <c r="D14" s="5" t="s">
        <v>839</v>
      </c>
      <c r="E14" s="5" t="s">
        <v>840</v>
      </c>
      <c r="F14" s="26"/>
      <c r="G14" s="5" t="s">
        <v>361</v>
      </c>
      <c r="H14" s="5"/>
      <c r="I14" s="5"/>
    </row>
    <row r="15" spans="1:10" x14ac:dyDescent="0.25">
      <c r="A15" s="22" t="s">
        <v>841</v>
      </c>
      <c r="B15" s="27" t="s">
        <v>5</v>
      </c>
      <c r="C15" s="8" t="s">
        <v>842</v>
      </c>
      <c r="D15" s="8" t="s">
        <v>843</v>
      </c>
      <c r="E15" s="8" t="s">
        <v>844</v>
      </c>
      <c r="F15" s="24"/>
      <c r="G15" s="8"/>
      <c r="H15" s="8"/>
      <c r="I15" s="8"/>
    </row>
    <row r="16" spans="1:10" x14ac:dyDescent="0.25">
      <c r="A16" s="25" t="s">
        <v>845</v>
      </c>
      <c r="B16" s="27" t="s">
        <v>5</v>
      </c>
      <c r="C16" s="5" t="s">
        <v>846</v>
      </c>
      <c r="D16" s="5" t="s">
        <v>847</v>
      </c>
      <c r="E16" s="5" t="s">
        <v>848</v>
      </c>
      <c r="F16" s="26"/>
      <c r="G16" s="5"/>
      <c r="H16" s="5"/>
      <c r="I16" s="5"/>
    </row>
    <row r="17" spans="1:9" x14ac:dyDescent="0.25">
      <c r="A17" s="22" t="s">
        <v>849</v>
      </c>
      <c r="B17" s="28" t="s">
        <v>6</v>
      </c>
      <c r="C17" s="8" t="s">
        <v>850</v>
      </c>
      <c r="D17" s="8" t="s">
        <v>851</v>
      </c>
      <c r="E17" s="8" t="s">
        <v>852</v>
      </c>
      <c r="F17" s="24"/>
      <c r="G17" s="8"/>
      <c r="H17" s="8"/>
      <c r="I17" s="8"/>
    </row>
    <row r="18" spans="1:9" x14ac:dyDescent="0.25">
      <c r="A18" s="25" t="s">
        <v>853</v>
      </c>
      <c r="B18" s="28" t="s">
        <v>6</v>
      </c>
      <c r="C18" s="5" t="s">
        <v>854</v>
      </c>
      <c r="D18" s="5" t="s">
        <v>855</v>
      </c>
      <c r="E18" s="5" t="s">
        <v>856</v>
      </c>
      <c r="F18" s="26"/>
      <c r="G18" s="5"/>
      <c r="H18" s="5"/>
      <c r="I18" s="5"/>
    </row>
    <row r="19" spans="1:9" x14ac:dyDescent="0.25">
      <c r="A19" s="22" t="s">
        <v>857</v>
      </c>
      <c r="B19" s="28" t="s">
        <v>6</v>
      </c>
      <c r="C19" s="8" t="s">
        <v>858</v>
      </c>
      <c r="D19" s="8" t="s">
        <v>859</v>
      </c>
      <c r="E19" s="8" t="s">
        <v>860</v>
      </c>
      <c r="F19" s="24"/>
      <c r="G19" s="8"/>
      <c r="H19" s="8"/>
      <c r="I19" s="8"/>
    </row>
    <row r="20" spans="1:9" x14ac:dyDescent="0.25">
      <c r="A20" s="25" t="s">
        <v>861</v>
      </c>
      <c r="B20" s="28" t="s">
        <v>6</v>
      </c>
      <c r="C20" s="5" t="s">
        <v>862</v>
      </c>
      <c r="D20" s="5" t="s">
        <v>863</v>
      </c>
      <c r="E20" s="5" t="s">
        <v>864</v>
      </c>
      <c r="F20" s="26"/>
      <c r="G20" s="5"/>
      <c r="H20" s="5"/>
      <c r="I20" s="5"/>
    </row>
    <row r="21" spans="1:9" x14ac:dyDescent="0.25">
      <c r="A21" s="22" t="s">
        <v>865</v>
      </c>
      <c r="B21" s="28" t="s">
        <v>6</v>
      </c>
      <c r="C21" s="8" t="s">
        <v>866</v>
      </c>
      <c r="D21" s="8" t="s">
        <v>867</v>
      </c>
      <c r="E21" s="8" t="s">
        <v>868</v>
      </c>
      <c r="F21" s="24"/>
      <c r="G21" s="8"/>
      <c r="H21" s="8"/>
      <c r="I21" s="8"/>
    </row>
    <row r="22" spans="1:9" ht="25.5" x14ac:dyDescent="0.25">
      <c r="A22" s="25" t="s">
        <v>869</v>
      </c>
      <c r="B22" s="27" t="s">
        <v>5</v>
      </c>
      <c r="C22" s="5" t="s">
        <v>870</v>
      </c>
      <c r="D22" s="5" t="s">
        <v>871</v>
      </c>
      <c r="E22" s="5" t="s">
        <v>872</v>
      </c>
      <c r="F22" s="26"/>
      <c r="G22" s="5" t="s">
        <v>361</v>
      </c>
      <c r="H22" s="5"/>
      <c r="I22" s="5"/>
    </row>
    <row r="23" spans="1:9" x14ac:dyDescent="0.25">
      <c r="A23" s="22" t="s">
        <v>873</v>
      </c>
      <c r="B23" s="28" t="s">
        <v>6</v>
      </c>
      <c r="C23" s="8" t="s">
        <v>874</v>
      </c>
      <c r="D23" s="8" t="s">
        <v>875</v>
      </c>
      <c r="E23" s="8" t="s">
        <v>876</v>
      </c>
      <c r="F23" s="24"/>
      <c r="G23" s="8"/>
      <c r="H23" s="8"/>
      <c r="I23" s="8"/>
    </row>
    <row r="24" spans="1:9" x14ac:dyDescent="0.25">
      <c r="A24" s="25" t="s">
        <v>877</v>
      </c>
      <c r="B24" s="28" t="s">
        <v>6</v>
      </c>
      <c r="C24" s="5" t="s">
        <v>878</v>
      </c>
      <c r="D24" s="5" t="s">
        <v>879</v>
      </c>
      <c r="E24" s="5" t="s">
        <v>880</v>
      </c>
      <c r="F24" s="26"/>
      <c r="G24" s="5"/>
      <c r="H24" s="5"/>
      <c r="I24" s="5"/>
    </row>
    <row r="26" spans="1:9" x14ac:dyDescent="0.25">
      <c r="A26" s="13" t="s">
        <v>137</v>
      </c>
    </row>
    <row r="27" spans="1:9" x14ac:dyDescent="0.25">
      <c r="A27" t="s">
        <v>138</v>
      </c>
      <c r="B27">
        <v>20</v>
      </c>
    </row>
    <row r="28" spans="1:9" x14ac:dyDescent="0.25">
      <c r="A28" t="s">
        <v>139</v>
      </c>
      <c r="B28">
        <f>COUNTIF(F5:F24,"PASS")</f>
        <v>0</v>
      </c>
    </row>
    <row r="29" spans="1:9" x14ac:dyDescent="0.25">
      <c r="A29" t="s">
        <v>140</v>
      </c>
      <c r="B29">
        <f>COUNTIF(F5:F24,"FAIL")</f>
        <v>0</v>
      </c>
    </row>
    <row r="30" spans="1:9" x14ac:dyDescent="0.25">
      <c r="A30" t="s">
        <v>141</v>
      </c>
      <c r="B30">
        <f>COUNTIF(F5:F24,"BLOCKED")</f>
        <v>0</v>
      </c>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A111E"/>
  </sheetPr>
  <dimension ref="A1:J32"/>
  <sheetViews>
    <sheetView zoomScaleNormal="100" workbookViewId="0"/>
  </sheetViews>
  <sheetFormatPr defaultColWidth="8.7109375" defaultRowHeight="15" x14ac:dyDescent="0.25"/>
  <cols>
    <col min="1" max="1" width="8" customWidth="1"/>
    <col min="2" max="2" width="12" customWidth="1"/>
    <col min="3" max="4" width="55" customWidth="1"/>
    <col min="5" max="5" width="50" customWidth="1"/>
    <col min="6" max="6" width="12" customWidth="1"/>
    <col min="7" max="7" width="18" customWidth="1"/>
    <col min="8" max="8" width="30" customWidth="1"/>
    <col min="9" max="9" width="18" customWidth="1"/>
  </cols>
  <sheetData>
    <row r="1" spans="1:10" ht="18" x14ac:dyDescent="0.25">
      <c r="A1" s="2" t="s">
        <v>881</v>
      </c>
      <c r="B1" s="2"/>
      <c r="C1" s="2"/>
      <c r="D1" s="2"/>
      <c r="E1" s="2"/>
      <c r="F1" s="2"/>
      <c r="G1" s="2"/>
      <c r="H1" s="2"/>
      <c r="I1" s="2"/>
      <c r="J1" s="2"/>
    </row>
    <row r="2" spans="1:10" x14ac:dyDescent="0.25">
      <c r="A2" s="1" t="s">
        <v>51</v>
      </c>
      <c r="B2" s="1"/>
      <c r="C2" s="1"/>
      <c r="D2" s="1"/>
      <c r="E2" s="1"/>
      <c r="F2" s="1"/>
      <c r="G2" s="1"/>
      <c r="H2" s="1"/>
      <c r="I2" s="1"/>
      <c r="J2" s="1"/>
    </row>
    <row r="4" spans="1:10" x14ac:dyDescent="0.25">
      <c r="A4" s="3" t="s">
        <v>52</v>
      </c>
      <c r="B4" s="3" t="s">
        <v>53</v>
      </c>
      <c r="C4" s="3" t="s">
        <v>54</v>
      </c>
      <c r="D4" s="3" t="s">
        <v>55</v>
      </c>
      <c r="E4" s="3" t="s">
        <v>56</v>
      </c>
      <c r="F4" s="3" t="s">
        <v>57</v>
      </c>
      <c r="G4" s="3" t="s">
        <v>58</v>
      </c>
      <c r="H4" s="3" t="s">
        <v>59</v>
      </c>
      <c r="I4" s="3" t="s">
        <v>60</v>
      </c>
    </row>
    <row r="5" spans="1:10" ht="25.5" x14ac:dyDescent="0.25">
      <c r="A5" s="22" t="s">
        <v>882</v>
      </c>
      <c r="B5" s="23" t="s">
        <v>4</v>
      </c>
      <c r="C5" s="8" t="s">
        <v>883</v>
      </c>
      <c r="D5" s="8" t="s">
        <v>884</v>
      </c>
      <c r="E5" s="8" t="s">
        <v>885</v>
      </c>
      <c r="F5" s="24"/>
      <c r="G5" s="8"/>
      <c r="H5" s="8"/>
      <c r="I5" s="8"/>
    </row>
    <row r="6" spans="1:10" x14ac:dyDescent="0.25">
      <c r="A6" s="25" t="s">
        <v>886</v>
      </c>
      <c r="B6" s="23" t="s">
        <v>4</v>
      </c>
      <c r="C6" s="5" t="s">
        <v>887</v>
      </c>
      <c r="D6" s="5" t="s">
        <v>888</v>
      </c>
      <c r="E6" s="5" t="s">
        <v>889</v>
      </c>
      <c r="F6" s="26"/>
      <c r="G6" s="5"/>
      <c r="H6" s="5"/>
      <c r="I6" s="5"/>
    </row>
    <row r="7" spans="1:10" ht="25.5" x14ac:dyDescent="0.25">
      <c r="A7" s="22" t="s">
        <v>890</v>
      </c>
      <c r="B7" s="23" t="s">
        <v>4</v>
      </c>
      <c r="C7" s="8" t="s">
        <v>891</v>
      </c>
      <c r="D7" s="8" t="s">
        <v>892</v>
      </c>
      <c r="E7" s="8" t="s">
        <v>893</v>
      </c>
      <c r="F7" s="24"/>
      <c r="G7" s="8" t="s">
        <v>894</v>
      </c>
      <c r="H7" s="8"/>
      <c r="I7" s="8"/>
    </row>
    <row r="8" spans="1:10" ht="25.5" x14ac:dyDescent="0.25">
      <c r="A8" s="25" t="s">
        <v>895</v>
      </c>
      <c r="B8" s="23" t="s">
        <v>4</v>
      </c>
      <c r="C8" s="5" t="s">
        <v>896</v>
      </c>
      <c r="D8" s="5" t="s">
        <v>897</v>
      </c>
      <c r="E8" s="5" t="s">
        <v>898</v>
      </c>
      <c r="F8" s="26"/>
      <c r="G8" s="5" t="s">
        <v>894</v>
      </c>
      <c r="H8" s="5"/>
      <c r="I8" s="5"/>
    </row>
    <row r="9" spans="1:10" ht="25.5" x14ac:dyDescent="0.25">
      <c r="A9" s="22" t="s">
        <v>899</v>
      </c>
      <c r="B9" s="23" t="s">
        <v>4</v>
      </c>
      <c r="C9" s="8" t="s">
        <v>900</v>
      </c>
      <c r="D9" s="8" t="s">
        <v>901</v>
      </c>
      <c r="E9" s="8" t="s">
        <v>902</v>
      </c>
      <c r="F9" s="24"/>
      <c r="G9" s="8" t="s">
        <v>903</v>
      </c>
      <c r="H9" s="8"/>
      <c r="I9" s="8"/>
    </row>
    <row r="10" spans="1:10" ht="25.5" x14ac:dyDescent="0.25">
      <c r="A10" s="25" t="s">
        <v>904</v>
      </c>
      <c r="B10" s="23" t="s">
        <v>4</v>
      </c>
      <c r="C10" s="5" t="s">
        <v>905</v>
      </c>
      <c r="D10" s="5" t="s">
        <v>906</v>
      </c>
      <c r="E10" s="5" t="s">
        <v>907</v>
      </c>
      <c r="F10" s="26"/>
      <c r="G10" s="5" t="s">
        <v>903</v>
      </c>
      <c r="H10" s="5"/>
      <c r="I10" s="5"/>
    </row>
    <row r="11" spans="1:10" x14ac:dyDescent="0.25">
      <c r="A11" s="22" t="s">
        <v>908</v>
      </c>
      <c r="B11" s="27" t="s">
        <v>5</v>
      </c>
      <c r="C11" s="8" t="s">
        <v>909</v>
      </c>
      <c r="D11" s="8" t="s">
        <v>910</v>
      </c>
      <c r="E11" s="8" t="s">
        <v>911</v>
      </c>
      <c r="F11" s="24"/>
      <c r="G11" s="8" t="s">
        <v>912</v>
      </c>
      <c r="H11" s="8"/>
      <c r="I11" s="8"/>
    </row>
    <row r="12" spans="1:10" x14ac:dyDescent="0.25">
      <c r="A12" s="25" t="s">
        <v>913</v>
      </c>
      <c r="B12" s="27" t="s">
        <v>5</v>
      </c>
      <c r="C12" s="5" t="s">
        <v>914</v>
      </c>
      <c r="D12" s="5" t="s">
        <v>915</v>
      </c>
      <c r="E12" s="5" t="s">
        <v>916</v>
      </c>
      <c r="F12" s="26"/>
      <c r="G12" s="5" t="s">
        <v>912</v>
      </c>
      <c r="H12" s="5"/>
      <c r="I12" s="5"/>
    </row>
    <row r="13" spans="1:10" x14ac:dyDescent="0.25">
      <c r="A13" s="22" t="s">
        <v>917</v>
      </c>
      <c r="B13" s="27" t="s">
        <v>5</v>
      </c>
      <c r="C13" s="8" t="s">
        <v>918</v>
      </c>
      <c r="D13" s="8" t="s">
        <v>919</v>
      </c>
      <c r="E13" s="8" t="s">
        <v>920</v>
      </c>
      <c r="F13" s="24"/>
      <c r="G13" s="8" t="s">
        <v>921</v>
      </c>
      <c r="H13" s="8"/>
      <c r="I13" s="8"/>
    </row>
    <row r="14" spans="1:10" x14ac:dyDescent="0.25">
      <c r="A14" s="25" t="s">
        <v>922</v>
      </c>
      <c r="B14" s="27" t="s">
        <v>5</v>
      </c>
      <c r="C14" s="5" t="s">
        <v>923</v>
      </c>
      <c r="D14" s="5" t="s">
        <v>924</v>
      </c>
      <c r="E14" s="5" t="s">
        <v>925</v>
      </c>
      <c r="F14" s="26"/>
      <c r="G14" s="5" t="s">
        <v>926</v>
      </c>
      <c r="H14" s="5"/>
      <c r="I14" s="5"/>
    </row>
    <row r="15" spans="1:10" x14ac:dyDescent="0.25">
      <c r="A15" s="22" t="s">
        <v>927</v>
      </c>
      <c r="B15" s="27" t="s">
        <v>5</v>
      </c>
      <c r="C15" s="8" t="s">
        <v>928</v>
      </c>
      <c r="D15" s="8" t="s">
        <v>929</v>
      </c>
      <c r="E15" s="8" t="s">
        <v>930</v>
      </c>
      <c r="F15" s="24"/>
      <c r="G15" s="8" t="s">
        <v>931</v>
      </c>
      <c r="H15" s="8"/>
      <c r="I15" s="8"/>
    </row>
    <row r="16" spans="1:10" x14ac:dyDescent="0.25">
      <c r="A16" s="25" t="s">
        <v>932</v>
      </c>
      <c r="B16" s="27" t="s">
        <v>5</v>
      </c>
      <c r="C16" s="5" t="s">
        <v>933</v>
      </c>
      <c r="D16" s="5" t="s">
        <v>934</v>
      </c>
      <c r="E16" s="5" t="s">
        <v>935</v>
      </c>
      <c r="F16" s="26"/>
      <c r="G16" s="5" t="s">
        <v>936</v>
      </c>
      <c r="H16" s="5"/>
      <c r="I16" s="5"/>
    </row>
    <row r="17" spans="1:9" x14ac:dyDescent="0.25">
      <c r="A17" s="22" t="s">
        <v>937</v>
      </c>
      <c r="B17" s="27" t="s">
        <v>5</v>
      </c>
      <c r="C17" s="8" t="s">
        <v>938</v>
      </c>
      <c r="D17" s="8" t="s">
        <v>939</v>
      </c>
      <c r="E17" s="8" t="s">
        <v>940</v>
      </c>
      <c r="F17" s="24"/>
      <c r="G17" s="8"/>
      <c r="H17" s="8"/>
      <c r="I17" s="8"/>
    </row>
    <row r="18" spans="1:9" x14ac:dyDescent="0.25">
      <c r="A18" s="25" t="s">
        <v>941</v>
      </c>
      <c r="B18" s="27" t="s">
        <v>5</v>
      </c>
      <c r="C18" s="5" t="s">
        <v>942</v>
      </c>
      <c r="D18" s="5" t="s">
        <v>943</v>
      </c>
      <c r="E18" s="5" t="s">
        <v>944</v>
      </c>
      <c r="F18" s="26"/>
      <c r="G18" s="5"/>
      <c r="H18" s="5"/>
      <c r="I18" s="5"/>
    </row>
    <row r="19" spans="1:9" x14ac:dyDescent="0.25">
      <c r="A19" s="22" t="s">
        <v>945</v>
      </c>
      <c r="B19" s="27" t="s">
        <v>5</v>
      </c>
      <c r="C19" s="8" t="s">
        <v>946</v>
      </c>
      <c r="D19" s="8" t="s">
        <v>947</v>
      </c>
      <c r="E19" s="8" t="s">
        <v>948</v>
      </c>
      <c r="F19" s="24"/>
      <c r="G19" s="8"/>
      <c r="H19" s="8"/>
      <c r="I19" s="8"/>
    </row>
    <row r="20" spans="1:9" x14ac:dyDescent="0.25">
      <c r="A20" s="25" t="s">
        <v>949</v>
      </c>
      <c r="B20" s="28" t="s">
        <v>6</v>
      </c>
      <c r="C20" s="5" t="s">
        <v>950</v>
      </c>
      <c r="D20" s="5" t="s">
        <v>951</v>
      </c>
      <c r="E20" s="5" t="s">
        <v>952</v>
      </c>
      <c r="F20" s="26"/>
      <c r="G20" s="5" t="s">
        <v>953</v>
      </c>
      <c r="H20" s="5"/>
      <c r="I20" s="5"/>
    </row>
    <row r="21" spans="1:9" x14ac:dyDescent="0.25">
      <c r="A21" s="22" t="s">
        <v>954</v>
      </c>
      <c r="B21" s="28" t="s">
        <v>6</v>
      </c>
      <c r="C21" s="8" t="s">
        <v>955</v>
      </c>
      <c r="D21" s="8" t="s">
        <v>956</v>
      </c>
      <c r="E21" s="8" t="s">
        <v>957</v>
      </c>
      <c r="F21" s="24"/>
      <c r="G21" s="8" t="s">
        <v>958</v>
      </c>
      <c r="H21" s="8"/>
      <c r="I21" s="8"/>
    </row>
    <row r="22" spans="1:9" x14ac:dyDescent="0.25">
      <c r="A22" s="25" t="s">
        <v>959</v>
      </c>
      <c r="B22" s="28" t="s">
        <v>6</v>
      </c>
      <c r="C22" s="5" t="s">
        <v>960</v>
      </c>
      <c r="D22" s="5" t="s">
        <v>961</v>
      </c>
      <c r="E22" s="5" t="s">
        <v>962</v>
      </c>
      <c r="F22" s="26"/>
      <c r="G22" s="5" t="s">
        <v>926</v>
      </c>
      <c r="H22" s="5"/>
      <c r="I22" s="5"/>
    </row>
    <row r="23" spans="1:9" x14ac:dyDescent="0.25">
      <c r="A23" s="22" t="s">
        <v>963</v>
      </c>
      <c r="B23" s="28" t="s">
        <v>6</v>
      </c>
      <c r="C23" s="8" t="s">
        <v>964</v>
      </c>
      <c r="D23" s="8" t="s">
        <v>965</v>
      </c>
      <c r="E23" s="8" t="s">
        <v>966</v>
      </c>
      <c r="F23" s="24"/>
      <c r="G23" s="8" t="s">
        <v>967</v>
      </c>
      <c r="H23" s="8"/>
      <c r="I23" s="8"/>
    </row>
    <row r="24" spans="1:9" x14ac:dyDescent="0.25">
      <c r="A24" s="25" t="s">
        <v>968</v>
      </c>
      <c r="B24" s="28" t="s">
        <v>6</v>
      </c>
      <c r="C24" s="5" t="s">
        <v>969</v>
      </c>
      <c r="D24" s="5" t="s">
        <v>970</v>
      </c>
      <c r="E24" s="5" t="s">
        <v>971</v>
      </c>
      <c r="F24" s="26"/>
      <c r="G24" s="5"/>
      <c r="H24" s="5"/>
      <c r="I24" s="5"/>
    </row>
    <row r="25" spans="1:9" x14ac:dyDescent="0.25">
      <c r="A25" s="22" t="s">
        <v>972</v>
      </c>
      <c r="B25" s="27" t="s">
        <v>5</v>
      </c>
      <c r="C25" s="8" t="s">
        <v>973</v>
      </c>
      <c r="D25" s="8" t="s">
        <v>974</v>
      </c>
      <c r="E25" s="8" t="s">
        <v>975</v>
      </c>
      <c r="F25" s="24"/>
      <c r="G25" s="8"/>
      <c r="H25" s="8"/>
      <c r="I25" s="8"/>
    </row>
    <row r="26" spans="1:9" x14ac:dyDescent="0.25">
      <c r="A26" s="25" t="s">
        <v>976</v>
      </c>
      <c r="B26" s="28" t="s">
        <v>6</v>
      </c>
      <c r="C26" s="5" t="s">
        <v>977</v>
      </c>
      <c r="D26" s="5" t="s">
        <v>978</v>
      </c>
      <c r="E26" s="5" t="s">
        <v>979</v>
      </c>
      <c r="F26" s="26"/>
      <c r="G26" s="5"/>
      <c r="H26" s="5"/>
      <c r="I26" s="5"/>
    </row>
    <row r="28" spans="1:9" x14ac:dyDescent="0.25">
      <c r="A28" s="13" t="s">
        <v>137</v>
      </c>
    </row>
    <row r="29" spans="1:9" x14ac:dyDescent="0.25">
      <c r="A29" t="s">
        <v>138</v>
      </c>
      <c r="B29">
        <v>22</v>
      </c>
    </row>
    <row r="30" spans="1:9" x14ac:dyDescent="0.25">
      <c r="A30" t="s">
        <v>139</v>
      </c>
      <c r="B30">
        <f>COUNTIF(F5:F26,"PASS")</f>
        <v>0</v>
      </c>
    </row>
    <row r="31" spans="1:9" x14ac:dyDescent="0.25">
      <c r="A31" t="s">
        <v>140</v>
      </c>
      <c r="B31">
        <f>COUNTIF(F5:F26,"FAIL")</f>
        <v>0</v>
      </c>
    </row>
    <row r="32" spans="1:9" x14ac:dyDescent="0.25">
      <c r="A32" t="s">
        <v>141</v>
      </c>
      <c r="B32">
        <f>COUNTIF(F5:F26,"BLOCKED")</f>
        <v>0</v>
      </c>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A111E"/>
  </sheetPr>
  <dimension ref="A1:J26"/>
  <sheetViews>
    <sheetView topLeftCell="A7" zoomScaleNormal="100" workbookViewId="0">
      <selection sqref="A1:J1"/>
    </sheetView>
  </sheetViews>
  <sheetFormatPr defaultColWidth="8.7109375" defaultRowHeight="15" x14ac:dyDescent="0.25"/>
  <cols>
    <col min="1" max="1" width="8" customWidth="1"/>
    <col min="2" max="2" width="12" customWidth="1"/>
    <col min="3" max="4" width="55" customWidth="1"/>
    <col min="5" max="5" width="50" customWidth="1"/>
    <col min="6" max="6" width="12" customWidth="1"/>
    <col min="7" max="7" width="18" customWidth="1"/>
    <col min="8" max="8" width="30" customWidth="1"/>
    <col min="9" max="9" width="18" customWidth="1"/>
  </cols>
  <sheetData>
    <row r="1" spans="1:10" ht="18" x14ac:dyDescent="0.25">
      <c r="A1" s="2" t="s">
        <v>980</v>
      </c>
      <c r="B1" s="2"/>
      <c r="C1" s="2"/>
      <c r="D1" s="2"/>
      <c r="E1" s="2"/>
      <c r="F1" s="2"/>
      <c r="G1" s="2"/>
      <c r="H1" s="2"/>
      <c r="I1" s="2"/>
      <c r="J1" s="2"/>
    </row>
    <row r="2" spans="1:10" x14ac:dyDescent="0.25">
      <c r="A2" s="1" t="s">
        <v>51</v>
      </c>
      <c r="B2" s="1"/>
      <c r="C2" s="1"/>
      <c r="D2" s="1"/>
      <c r="E2" s="1"/>
      <c r="F2" s="1"/>
      <c r="G2" s="1"/>
      <c r="H2" s="1"/>
      <c r="I2" s="1"/>
      <c r="J2" s="1"/>
    </row>
    <row r="4" spans="1:10" x14ac:dyDescent="0.25">
      <c r="A4" s="3" t="s">
        <v>52</v>
      </c>
      <c r="B4" s="3" t="s">
        <v>53</v>
      </c>
      <c r="C4" s="3" t="s">
        <v>54</v>
      </c>
      <c r="D4" s="3" t="s">
        <v>55</v>
      </c>
      <c r="E4" s="3" t="s">
        <v>56</v>
      </c>
      <c r="F4" s="3" t="s">
        <v>57</v>
      </c>
      <c r="G4" s="3" t="s">
        <v>58</v>
      </c>
      <c r="H4" s="3" t="s">
        <v>59</v>
      </c>
      <c r="I4" s="3" t="s">
        <v>60</v>
      </c>
    </row>
    <row r="5" spans="1:10" ht="25.5" x14ac:dyDescent="0.25">
      <c r="A5" s="22" t="s">
        <v>981</v>
      </c>
      <c r="B5" s="23" t="s">
        <v>4</v>
      </c>
      <c r="C5" s="8" t="s">
        <v>982</v>
      </c>
      <c r="D5" s="8" t="s">
        <v>983</v>
      </c>
      <c r="E5" s="8" t="s">
        <v>984</v>
      </c>
      <c r="F5" s="24"/>
      <c r="G5" s="8" t="s">
        <v>985</v>
      </c>
      <c r="H5" s="8"/>
      <c r="I5" s="8"/>
    </row>
    <row r="6" spans="1:10" ht="25.5" x14ac:dyDescent="0.25">
      <c r="A6" s="25" t="s">
        <v>986</v>
      </c>
      <c r="B6" s="23" t="s">
        <v>4</v>
      </c>
      <c r="C6" s="5" t="s">
        <v>987</v>
      </c>
      <c r="D6" s="5" t="s">
        <v>988</v>
      </c>
      <c r="E6" s="5" t="s">
        <v>989</v>
      </c>
      <c r="F6" s="26"/>
      <c r="G6" s="5" t="s">
        <v>990</v>
      </c>
      <c r="H6" s="5"/>
      <c r="I6" s="5"/>
    </row>
    <row r="7" spans="1:10" ht="25.5" x14ac:dyDescent="0.25">
      <c r="A7" s="22" t="s">
        <v>991</v>
      </c>
      <c r="B7" s="23" t="s">
        <v>4</v>
      </c>
      <c r="C7" s="8" t="s">
        <v>992</v>
      </c>
      <c r="D7" s="8" t="s">
        <v>993</v>
      </c>
      <c r="E7" s="8" t="s">
        <v>994</v>
      </c>
      <c r="F7" s="24"/>
      <c r="G7" s="8" t="s">
        <v>990</v>
      </c>
      <c r="H7" s="8"/>
      <c r="I7" s="8"/>
    </row>
    <row r="8" spans="1:10" x14ac:dyDescent="0.25">
      <c r="A8" s="25" t="s">
        <v>995</v>
      </c>
      <c r="B8" s="27" t="s">
        <v>5</v>
      </c>
      <c r="C8" s="5" t="s">
        <v>996</v>
      </c>
      <c r="D8" s="5" t="s">
        <v>997</v>
      </c>
      <c r="E8" s="5" t="s">
        <v>998</v>
      </c>
      <c r="F8" s="26"/>
      <c r="G8" s="5" t="s">
        <v>990</v>
      </c>
      <c r="H8" s="5"/>
      <c r="I8" s="5"/>
    </row>
    <row r="9" spans="1:10" ht="25.5" x14ac:dyDescent="0.25">
      <c r="A9" s="22" t="s">
        <v>999</v>
      </c>
      <c r="B9" s="27" t="s">
        <v>5</v>
      </c>
      <c r="C9" s="8" t="s">
        <v>1000</v>
      </c>
      <c r="D9" s="8" t="s">
        <v>1001</v>
      </c>
      <c r="E9" s="8" t="s">
        <v>1002</v>
      </c>
      <c r="F9" s="24"/>
      <c r="G9" s="8"/>
      <c r="H9" s="8"/>
      <c r="I9" s="8"/>
    </row>
    <row r="10" spans="1:10" ht="25.5" x14ac:dyDescent="0.25">
      <c r="A10" s="25" t="s">
        <v>1003</v>
      </c>
      <c r="B10" s="27" t="s">
        <v>5</v>
      </c>
      <c r="C10" s="5" t="s">
        <v>1004</v>
      </c>
      <c r="D10" s="5" t="s">
        <v>1005</v>
      </c>
      <c r="E10" s="5" t="s">
        <v>1006</v>
      </c>
      <c r="F10" s="26"/>
      <c r="G10" s="5"/>
      <c r="H10" s="5"/>
      <c r="I10" s="5"/>
    </row>
    <row r="11" spans="1:10" ht="25.5" x14ac:dyDescent="0.25">
      <c r="A11" s="22" t="s">
        <v>1007</v>
      </c>
      <c r="B11" s="27" t="s">
        <v>5</v>
      </c>
      <c r="C11" s="8" t="s">
        <v>1008</v>
      </c>
      <c r="D11" s="8" t="s">
        <v>1009</v>
      </c>
      <c r="E11" s="8" t="s">
        <v>1010</v>
      </c>
      <c r="F11" s="24"/>
      <c r="G11" s="8"/>
      <c r="H11" s="8"/>
      <c r="I11" s="8"/>
    </row>
    <row r="12" spans="1:10" x14ac:dyDescent="0.25">
      <c r="A12" s="25" t="s">
        <v>1011</v>
      </c>
      <c r="B12" s="27" t="s">
        <v>5</v>
      </c>
      <c r="C12" s="5" t="s">
        <v>1012</v>
      </c>
      <c r="D12" s="5" t="s">
        <v>1013</v>
      </c>
      <c r="E12" s="5" t="s">
        <v>1014</v>
      </c>
      <c r="F12" s="26"/>
      <c r="G12" s="5"/>
      <c r="H12" s="5"/>
      <c r="I12" s="5"/>
    </row>
    <row r="13" spans="1:10" ht="25.5" x14ac:dyDescent="0.25">
      <c r="A13" s="22" t="s">
        <v>1015</v>
      </c>
      <c r="B13" s="27" t="s">
        <v>5</v>
      </c>
      <c r="C13" s="8" t="s">
        <v>1016</v>
      </c>
      <c r="D13" s="8" t="s">
        <v>1017</v>
      </c>
      <c r="E13" s="8" t="s">
        <v>1018</v>
      </c>
      <c r="F13" s="24"/>
      <c r="G13" s="8" t="s">
        <v>1019</v>
      </c>
      <c r="H13" s="8"/>
      <c r="I13" s="8"/>
    </row>
    <row r="14" spans="1:10" ht="25.5" x14ac:dyDescent="0.25">
      <c r="A14" s="25" t="s">
        <v>1020</v>
      </c>
      <c r="B14" s="27" t="s">
        <v>5</v>
      </c>
      <c r="C14" s="5" t="s">
        <v>1021</v>
      </c>
      <c r="D14" s="5" t="s">
        <v>1022</v>
      </c>
      <c r="E14" s="5" t="s">
        <v>1023</v>
      </c>
      <c r="F14" s="26"/>
      <c r="G14" s="5" t="s">
        <v>1024</v>
      </c>
      <c r="H14" s="5"/>
      <c r="I14" s="5"/>
    </row>
    <row r="15" spans="1:10" ht="25.5" x14ac:dyDescent="0.25">
      <c r="A15" s="22" t="s">
        <v>1025</v>
      </c>
      <c r="B15" s="28" t="s">
        <v>6</v>
      </c>
      <c r="C15" s="8" t="s">
        <v>1026</v>
      </c>
      <c r="D15" s="8" t="s">
        <v>1027</v>
      </c>
      <c r="E15" s="8" t="s">
        <v>1028</v>
      </c>
      <c r="F15" s="24"/>
      <c r="G15" s="8"/>
      <c r="H15" s="8"/>
      <c r="I15" s="8"/>
    </row>
    <row r="16" spans="1:10" x14ac:dyDescent="0.25">
      <c r="A16" s="25" t="s">
        <v>1029</v>
      </c>
      <c r="B16" s="28" t="s">
        <v>6</v>
      </c>
      <c r="C16" s="5" t="s">
        <v>1030</v>
      </c>
      <c r="D16" s="5" t="s">
        <v>1031</v>
      </c>
      <c r="E16" s="5" t="s">
        <v>1032</v>
      </c>
      <c r="F16" s="26"/>
      <c r="G16" s="5"/>
      <c r="H16" s="5"/>
      <c r="I16" s="5"/>
    </row>
    <row r="17" spans="1:9" x14ac:dyDescent="0.25">
      <c r="A17" s="22" t="s">
        <v>1033</v>
      </c>
      <c r="B17" s="28" t="s">
        <v>6</v>
      </c>
      <c r="C17" s="8" t="s">
        <v>1034</v>
      </c>
      <c r="D17" s="8" t="s">
        <v>1035</v>
      </c>
      <c r="E17" s="8" t="s">
        <v>1036</v>
      </c>
      <c r="F17" s="24"/>
      <c r="G17" s="8"/>
      <c r="H17" s="8"/>
      <c r="I17" s="8"/>
    </row>
    <row r="18" spans="1:9" x14ac:dyDescent="0.25">
      <c r="A18" s="25" t="s">
        <v>1037</v>
      </c>
      <c r="B18" s="28" t="s">
        <v>6</v>
      </c>
      <c r="C18" s="5" t="s">
        <v>1038</v>
      </c>
      <c r="D18" s="5" t="s">
        <v>1039</v>
      </c>
      <c r="E18" s="5" t="s">
        <v>1040</v>
      </c>
      <c r="F18" s="26"/>
      <c r="G18" s="5"/>
      <c r="H18" s="5"/>
      <c r="I18" s="5"/>
    </row>
    <row r="19" spans="1:9" ht="25.5" x14ac:dyDescent="0.25">
      <c r="A19" s="22" t="s">
        <v>1041</v>
      </c>
      <c r="B19" s="27" t="s">
        <v>5</v>
      </c>
      <c r="C19" s="8" t="s">
        <v>1042</v>
      </c>
      <c r="D19" s="8" t="s">
        <v>1043</v>
      </c>
      <c r="E19" s="8" t="s">
        <v>1044</v>
      </c>
      <c r="F19" s="24"/>
      <c r="G19" s="8" t="s">
        <v>793</v>
      </c>
      <c r="H19" s="8"/>
      <c r="I19" s="8"/>
    </row>
    <row r="20" spans="1:9" x14ac:dyDescent="0.25">
      <c r="A20" s="25" t="s">
        <v>1045</v>
      </c>
      <c r="B20" s="28" t="s">
        <v>6</v>
      </c>
      <c r="C20" s="5" t="s">
        <v>1046</v>
      </c>
      <c r="D20" s="5" t="s">
        <v>1047</v>
      </c>
      <c r="E20" s="5" t="s">
        <v>1048</v>
      </c>
      <c r="F20" s="26"/>
      <c r="G20" s="5"/>
      <c r="H20" s="5"/>
      <c r="I20" s="5"/>
    </row>
    <row r="22" spans="1:9" x14ac:dyDescent="0.25">
      <c r="A22" s="13" t="s">
        <v>137</v>
      </c>
    </row>
    <row r="23" spans="1:9" x14ac:dyDescent="0.25">
      <c r="A23" t="s">
        <v>138</v>
      </c>
      <c r="B23">
        <v>16</v>
      </c>
    </row>
    <row r="24" spans="1:9" x14ac:dyDescent="0.25">
      <c r="A24" t="s">
        <v>139</v>
      </c>
      <c r="B24">
        <f>COUNTIF(F5:F20,"PASS")</f>
        <v>0</v>
      </c>
    </row>
    <row r="25" spans="1:9" x14ac:dyDescent="0.25">
      <c r="A25" t="s">
        <v>140</v>
      </c>
      <c r="B25">
        <f>COUNTIF(F5:F20,"FAIL")</f>
        <v>0</v>
      </c>
    </row>
    <row r="26" spans="1:9" x14ac:dyDescent="0.25">
      <c r="A26" t="s">
        <v>141</v>
      </c>
      <c r="B26">
        <f>COUNTIF(F5:F20,"BLOCKED")</f>
        <v>0</v>
      </c>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A111E"/>
  </sheetPr>
  <dimension ref="A1:J20"/>
  <sheetViews>
    <sheetView zoomScaleNormal="100" workbookViewId="0">
      <selection sqref="A1:J1"/>
    </sheetView>
  </sheetViews>
  <sheetFormatPr defaultColWidth="8.7109375" defaultRowHeight="15" x14ac:dyDescent="0.25"/>
  <cols>
    <col min="1" max="1" width="8" customWidth="1"/>
    <col min="2" max="2" width="12" customWidth="1"/>
    <col min="3" max="4" width="55" customWidth="1"/>
    <col min="5" max="5" width="50" customWidth="1"/>
    <col min="6" max="6" width="12" customWidth="1"/>
    <col min="7" max="7" width="18" customWidth="1"/>
    <col min="8" max="8" width="30" customWidth="1"/>
    <col min="9" max="9" width="18" customWidth="1"/>
  </cols>
  <sheetData>
    <row r="1" spans="1:10" ht="18" x14ac:dyDescent="0.25">
      <c r="A1" s="2" t="s">
        <v>1049</v>
      </c>
      <c r="B1" s="2"/>
      <c r="C1" s="2"/>
      <c r="D1" s="2"/>
      <c r="E1" s="2"/>
      <c r="F1" s="2"/>
      <c r="G1" s="2"/>
      <c r="H1" s="2"/>
      <c r="I1" s="2"/>
      <c r="J1" s="2"/>
    </row>
    <row r="2" spans="1:10" x14ac:dyDescent="0.25">
      <c r="A2" s="1" t="s">
        <v>51</v>
      </c>
      <c r="B2" s="1"/>
      <c r="C2" s="1"/>
      <c r="D2" s="1"/>
      <c r="E2" s="1"/>
      <c r="F2" s="1"/>
      <c r="G2" s="1"/>
      <c r="H2" s="1"/>
      <c r="I2" s="1"/>
      <c r="J2" s="1"/>
    </row>
    <row r="4" spans="1:10" x14ac:dyDescent="0.25">
      <c r="A4" s="3" t="s">
        <v>52</v>
      </c>
      <c r="B4" s="3" t="s">
        <v>53</v>
      </c>
      <c r="C4" s="3" t="s">
        <v>54</v>
      </c>
      <c r="D4" s="3" t="s">
        <v>55</v>
      </c>
      <c r="E4" s="3" t="s">
        <v>56</v>
      </c>
      <c r="F4" s="3" t="s">
        <v>57</v>
      </c>
      <c r="G4" s="3" t="s">
        <v>58</v>
      </c>
      <c r="H4" s="3" t="s">
        <v>59</v>
      </c>
      <c r="I4" s="3" t="s">
        <v>60</v>
      </c>
    </row>
    <row r="5" spans="1:10" ht="25.5" x14ac:dyDescent="0.25">
      <c r="A5" s="22" t="s">
        <v>1050</v>
      </c>
      <c r="B5" s="23" t="s">
        <v>4</v>
      </c>
      <c r="C5" s="8" t="s">
        <v>1051</v>
      </c>
      <c r="D5" s="8" t="s">
        <v>1052</v>
      </c>
      <c r="E5" s="8" t="s">
        <v>1053</v>
      </c>
      <c r="F5" s="24"/>
      <c r="G5" s="8"/>
      <c r="H5" s="8"/>
      <c r="I5" s="8"/>
    </row>
    <row r="6" spans="1:10" x14ac:dyDescent="0.25">
      <c r="A6" s="25" t="s">
        <v>1054</v>
      </c>
      <c r="B6" s="27" t="s">
        <v>5</v>
      </c>
      <c r="C6" s="5" t="s">
        <v>1055</v>
      </c>
      <c r="D6" s="5" t="s">
        <v>1056</v>
      </c>
      <c r="E6" s="5" t="s">
        <v>1057</v>
      </c>
      <c r="F6" s="26"/>
      <c r="G6" s="5" t="s">
        <v>221</v>
      </c>
      <c r="H6" s="5"/>
      <c r="I6" s="5"/>
    </row>
    <row r="7" spans="1:10" ht="25.5" x14ac:dyDescent="0.25">
      <c r="A7" s="22" t="s">
        <v>1058</v>
      </c>
      <c r="B7" s="27" t="s">
        <v>5</v>
      </c>
      <c r="C7" s="8" t="s">
        <v>1059</v>
      </c>
      <c r="D7" s="8" t="s">
        <v>1060</v>
      </c>
      <c r="E7" s="8" t="s">
        <v>1061</v>
      </c>
      <c r="F7" s="24"/>
      <c r="G7" s="8"/>
      <c r="H7" s="8"/>
      <c r="I7" s="8"/>
    </row>
    <row r="8" spans="1:10" ht="25.5" x14ac:dyDescent="0.25">
      <c r="A8" s="25" t="s">
        <v>1062</v>
      </c>
      <c r="B8" s="27" t="s">
        <v>5</v>
      </c>
      <c r="C8" s="5" t="s">
        <v>1063</v>
      </c>
      <c r="D8" s="5" t="s">
        <v>1064</v>
      </c>
      <c r="E8" s="5" t="s">
        <v>1065</v>
      </c>
      <c r="F8" s="26"/>
      <c r="G8" s="5"/>
      <c r="H8" s="5"/>
      <c r="I8" s="5"/>
    </row>
    <row r="9" spans="1:10" x14ac:dyDescent="0.25">
      <c r="A9" s="22" t="s">
        <v>1066</v>
      </c>
      <c r="B9" s="27" t="s">
        <v>5</v>
      </c>
      <c r="C9" s="8" t="s">
        <v>1067</v>
      </c>
      <c r="D9" s="8" t="s">
        <v>1068</v>
      </c>
      <c r="E9" s="8" t="s">
        <v>1069</v>
      </c>
      <c r="F9" s="24"/>
      <c r="G9" s="8"/>
      <c r="H9" s="8"/>
      <c r="I9" s="8"/>
    </row>
    <row r="10" spans="1:10" x14ac:dyDescent="0.25">
      <c r="A10" s="25" t="s">
        <v>1070</v>
      </c>
      <c r="B10" s="28" t="s">
        <v>6</v>
      </c>
      <c r="C10" s="5" t="s">
        <v>1071</v>
      </c>
      <c r="D10" s="5" t="s">
        <v>1072</v>
      </c>
      <c r="E10" s="5" t="s">
        <v>1073</v>
      </c>
      <c r="F10" s="26"/>
      <c r="G10" s="5"/>
      <c r="H10" s="5"/>
      <c r="I10" s="5"/>
    </row>
    <row r="11" spans="1:10" ht="25.5" x14ac:dyDescent="0.25">
      <c r="A11" s="22" t="s">
        <v>1074</v>
      </c>
      <c r="B11" s="28" t="s">
        <v>6</v>
      </c>
      <c r="C11" s="8" t="s">
        <v>1075</v>
      </c>
      <c r="D11" s="8" t="s">
        <v>1076</v>
      </c>
      <c r="E11" s="8" t="s">
        <v>1077</v>
      </c>
      <c r="F11" s="24"/>
      <c r="G11" s="8" t="s">
        <v>1078</v>
      </c>
      <c r="H11" s="8"/>
      <c r="I11" s="8"/>
    </row>
    <row r="12" spans="1:10" x14ac:dyDescent="0.25">
      <c r="A12" s="25" t="s">
        <v>1079</v>
      </c>
      <c r="B12" s="28" t="s">
        <v>6</v>
      </c>
      <c r="C12" s="5" t="s">
        <v>1080</v>
      </c>
      <c r="D12" s="5" t="s">
        <v>1081</v>
      </c>
      <c r="E12" s="5" t="s">
        <v>1082</v>
      </c>
      <c r="F12" s="26"/>
      <c r="G12" s="5"/>
      <c r="H12" s="5"/>
      <c r="I12" s="5"/>
    </row>
    <row r="13" spans="1:10" ht="25.5" x14ac:dyDescent="0.25">
      <c r="A13" s="22" t="s">
        <v>1083</v>
      </c>
      <c r="B13" s="28" t="s">
        <v>6</v>
      </c>
      <c r="C13" s="8" t="s">
        <v>1084</v>
      </c>
      <c r="D13" s="8" t="s">
        <v>1085</v>
      </c>
      <c r="E13" s="8" t="s">
        <v>1086</v>
      </c>
      <c r="F13" s="24"/>
      <c r="G13" s="8"/>
      <c r="H13" s="8"/>
      <c r="I13" s="8"/>
    </row>
    <row r="14" spans="1:10" ht="25.5" x14ac:dyDescent="0.25">
      <c r="A14" s="25" t="s">
        <v>1087</v>
      </c>
      <c r="B14" s="28" t="s">
        <v>6</v>
      </c>
      <c r="C14" s="5" t="s">
        <v>1088</v>
      </c>
      <c r="D14" s="5" t="s">
        <v>1089</v>
      </c>
      <c r="E14" s="5" t="s">
        <v>1090</v>
      </c>
      <c r="F14" s="26"/>
      <c r="G14" s="5"/>
      <c r="H14" s="5"/>
      <c r="I14" s="5"/>
    </row>
    <row r="16" spans="1:10" x14ac:dyDescent="0.25">
      <c r="A16" s="13" t="s">
        <v>137</v>
      </c>
    </row>
    <row r="17" spans="1:2" x14ac:dyDescent="0.25">
      <c r="A17" t="s">
        <v>138</v>
      </c>
      <c r="B17">
        <v>10</v>
      </c>
    </row>
    <row r="18" spans="1:2" x14ac:dyDescent="0.25">
      <c r="A18" t="s">
        <v>139</v>
      </c>
      <c r="B18">
        <f>COUNTIF(F5:F14,"PASS")</f>
        <v>0</v>
      </c>
    </row>
    <row r="19" spans="1:2" x14ac:dyDescent="0.25">
      <c r="A19" t="s">
        <v>140</v>
      </c>
      <c r="B19">
        <f>COUNTIF(F5:F14,"FAIL")</f>
        <v>0</v>
      </c>
    </row>
    <row r="20" spans="1:2" x14ac:dyDescent="0.25">
      <c r="A20" t="s">
        <v>141</v>
      </c>
      <c r="B20">
        <f>COUNTIF(F5:F14,"BLOCKED")</f>
        <v>0</v>
      </c>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A111E"/>
  </sheetPr>
  <dimension ref="A1:J22"/>
  <sheetViews>
    <sheetView topLeftCell="C1" zoomScaleNormal="100" workbookViewId="0">
      <selection sqref="A1:J1"/>
    </sheetView>
  </sheetViews>
  <sheetFormatPr defaultColWidth="8.7109375" defaultRowHeight="15" x14ac:dyDescent="0.25"/>
  <cols>
    <col min="1" max="1" width="8" customWidth="1"/>
    <col min="2" max="2" width="12" customWidth="1"/>
    <col min="3" max="4" width="55" customWidth="1"/>
    <col min="5" max="5" width="50" customWidth="1"/>
    <col min="6" max="6" width="12" customWidth="1"/>
    <col min="7" max="7" width="18" customWidth="1"/>
    <col min="8" max="8" width="30" customWidth="1"/>
    <col min="9" max="9" width="18" customWidth="1"/>
  </cols>
  <sheetData>
    <row r="1" spans="1:10" ht="18" x14ac:dyDescent="0.25">
      <c r="A1" s="2" t="s">
        <v>1091</v>
      </c>
      <c r="B1" s="2"/>
      <c r="C1" s="2"/>
      <c r="D1" s="2"/>
      <c r="E1" s="2"/>
      <c r="F1" s="2"/>
      <c r="G1" s="2"/>
      <c r="H1" s="2"/>
      <c r="I1" s="2"/>
      <c r="J1" s="2"/>
    </row>
    <row r="2" spans="1:10" x14ac:dyDescent="0.25">
      <c r="A2" s="1" t="s">
        <v>51</v>
      </c>
      <c r="B2" s="1"/>
      <c r="C2" s="1"/>
      <c r="D2" s="1"/>
      <c r="E2" s="1"/>
      <c r="F2" s="1"/>
      <c r="G2" s="1"/>
      <c r="H2" s="1"/>
      <c r="I2" s="1"/>
      <c r="J2" s="1"/>
    </row>
    <row r="4" spans="1:10" x14ac:dyDescent="0.25">
      <c r="A4" s="3" t="s">
        <v>52</v>
      </c>
      <c r="B4" s="3" t="s">
        <v>53</v>
      </c>
      <c r="C4" s="3" t="s">
        <v>54</v>
      </c>
      <c r="D4" s="3" t="s">
        <v>55</v>
      </c>
      <c r="E4" s="3" t="s">
        <v>56</v>
      </c>
      <c r="F4" s="3" t="s">
        <v>57</v>
      </c>
      <c r="G4" s="3" t="s">
        <v>58</v>
      </c>
      <c r="H4" s="3" t="s">
        <v>59</v>
      </c>
      <c r="I4" s="3" t="s">
        <v>60</v>
      </c>
    </row>
    <row r="5" spans="1:10" x14ac:dyDescent="0.25">
      <c r="A5" s="22" t="s">
        <v>1092</v>
      </c>
      <c r="B5" s="27" t="s">
        <v>5</v>
      </c>
      <c r="C5" s="8" t="s">
        <v>1093</v>
      </c>
      <c r="D5" s="8" t="s">
        <v>1094</v>
      </c>
      <c r="E5" s="8" t="s">
        <v>1095</v>
      </c>
      <c r="F5" s="24"/>
      <c r="G5" s="8"/>
      <c r="H5" s="8"/>
      <c r="I5" s="8"/>
    </row>
    <row r="6" spans="1:10" x14ac:dyDescent="0.25">
      <c r="A6" s="25" t="s">
        <v>1096</v>
      </c>
      <c r="B6" s="27" t="s">
        <v>5</v>
      </c>
      <c r="C6" s="5" t="s">
        <v>1097</v>
      </c>
      <c r="D6" s="5" t="s">
        <v>1098</v>
      </c>
      <c r="E6" s="5" t="s">
        <v>1099</v>
      </c>
      <c r="F6" s="26"/>
      <c r="G6" s="5"/>
      <c r="H6" s="5"/>
      <c r="I6" s="5"/>
    </row>
    <row r="7" spans="1:10" x14ac:dyDescent="0.25">
      <c r="A7" s="22" t="s">
        <v>1100</v>
      </c>
      <c r="B7" s="27" t="s">
        <v>5</v>
      </c>
      <c r="C7" s="8" t="s">
        <v>1101</v>
      </c>
      <c r="D7" s="8" t="s">
        <v>1102</v>
      </c>
      <c r="E7" s="8" t="s">
        <v>1103</v>
      </c>
      <c r="F7" s="24"/>
      <c r="G7" s="8"/>
      <c r="H7" s="8"/>
      <c r="I7" s="8"/>
    </row>
    <row r="8" spans="1:10" x14ac:dyDescent="0.25">
      <c r="A8" s="25" t="s">
        <v>1104</v>
      </c>
      <c r="B8" s="28" t="s">
        <v>6</v>
      </c>
      <c r="C8" s="5" t="s">
        <v>1105</v>
      </c>
      <c r="D8" s="5" t="s">
        <v>1106</v>
      </c>
      <c r="E8" s="5" t="s">
        <v>1107</v>
      </c>
      <c r="F8" s="26"/>
      <c r="G8" s="5"/>
      <c r="H8" s="5"/>
      <c r="I8" s="5"/>
    </row>
    <row r="9" spans="1:10" x14ac:dyDescent="0.25">
      <c r="A9" s="22" t="s">
        <v>1108</v>
      </c>
      <c r="B9" s="28" t="s">
        <v>6</v>
      </c>
      <c r="C9" s="8" t="s">
        <v>1109</v>
      </c>
      <c r="D9" s="8" t="s">
        <v>1110</v>
      </c>
      <c r="E9" s="8" t="s">
        <v>1107</v>
      </c>
      <c r="F9" s="24"/>
      <c r="G9" s="8"/>
      <c r="H9" s="8"/>
      <c r="I9" s="8"/>
    </row>
    <row r="10" spans="1:10" x14ac:dyDescent="0.25">
      <c r="A10" s="25" t="s">
        <v>1111</v>
      </c>
      <c r="B10" s="28" t="s">
        <v>6</v>
      </c>
      <c r="C10" s="5" t="s">
        <v>1112</v>
      </c>
      <c r="D10" s="5" t="s">
        <v>1113</v>
      </c>
      <c r="E10" s="5" t="s">
        <v>1107</v>
      </c>
      <c r="F10" s="26"/>
      <c r="G10" s="5"/>
      <c r="H10" s="5"/>
      <c r="I10" s="5"/>
    </row>
    <row r="11" spans="1:10" x14ac:dyDescent="0.25">
      <c r="A11" s="22" t="s">
        <v>1114</v>
      </c>
      <c r="B11" s="28" t="s">
        <v>6</v>
      </c>
      <c r="C11" s="8" t="s">
        <v>1115</v>
      </c>
      <c r="D11" s="8" t="s">
        <v>1116</v>
      </c>
      <c r="E11" s="8" t="s">
        <v>1107</v>
      </c>
      <c r="F11" s="24"/>
      <c r="G11" s="8"/>
      <c r="H11" s="8"/>
      <c r="I11" s="8"/>
    </row>
    <row r="12" spans="1:10" x14ac:dyDescent="0.25">
      <c r="A12" s="25" t="s">
        <v>1117</v>
      </c>
      <c r="B12" s="28" t="s">
        <v>6</v>
      </c>
      <c r="C12" s="5" t="s">
        <v>1118</v>
      </c>
      <c r="D12" s="5" t="s">
        <v>1119</v>
      </c>
      <c r="E12" s="5" t="s">
        <v>1107</v>
      </c>
      <c r="F12" s="26"/>
      <c r="G12" s="5"/>
      <c r="H12" s="5"/>
      <c r="I12" s="5"/>
    </row>
    <row r="13" spans="1:10" x14ac:dyDescent="0.25">
      <c r="A13" s="22" t="s">
        <v>1120</v>
      </c>
      <c r="B13" s="28" t="s">
        <v>6</v>
      </c>
      <c r="C13" s="8" t="s">
        <v>1121</v>
      </c>
      <c r="D13" s="8" t="s">
        <v>1122</v>
      </c>
      <c r="E13" s="8" t="s">
        <v>1123</v>
      </c>
      <c r="F13" s="24"/>
      <c r="G13" s="8" t="s">
        <v>967</v>
      </c>
      <c r="H13" s="8"/>
      <c r="I13" s="8"/>
    </row>
    <row r="14" spans="1:10" x14ac:dyDescent="0.25">
      <c r="A14" s="25" t="s">
        <v>1124</v>
      </c>
      <c r="B14" s="27" t="s">
        <v>5</v>
      </c>
      <c r="C14" s="5" t="s">
        <v>1125</v>
      </c>
      <c r="D14" s="5" t="s">
        <v>1126</v>
      </c>
      <c r="E14" s="5" t="s">
        <v>1127</v>
      </c>
      <c r="F14" s="26"/>
      <c r="G14" s="5" t="s">
        <v>361</v>
      </c>
      <c r="H14" s="5"/>
      <c r="I14" s="5"/>
    </row>
    <row r="15" spans="1:10" x14ac:dyDescent="0.25">
      <c r="A15" s="22" t="s">
        <v>1128</v>
      </c>
      <c r="B15" s="27" t="s">
        <v>5</v>
      </c>
      <c r="C15" s="8" t="s">
        <v>1129</v>
      </c>
      <c r="D15" s="8" t="s">
        <v>1130</v>
      </c>
      <c r="E15" s="8" t="s">
        <v>1131</v>
      </c>
      <c r="F15" s="24"/>
      <c r="G15" s="8" t="s">
        <v>361</v>
      </c>
      <c r="H15" s="8"/>
      <c r="I15" s="8"/>
    </row>
    <row r="16" spans="1:10" x14ac:dyDescent="0.25">
      <c r="A16" s="25" t="s">
        <v>1132</v>
      </c>
      <c r="B16" s="28" t="s">
        <v>6</v>
      </c>
      <c r="C16" s="5" t="s">
        <v>1133</v>
      </c>
      <c r="D16" s="5" t="s">
        <v>1134</v>
      </c>
      <c r="E16" s="5" t="s">
        <v>1135</v>
      </c>
      <c r="F16" s="26"/>
      <c r="G16" s="5"/>
      <c r="H16" s="5"/>
      <c r="I16" s="5"/>
    </row>
    <row r="18" spans="1:2" x14ac:dyDescent="0.25">
      <c r="A18" s="13" t="s">
        <v>137</v>
      </c>
    </row>
    <row r="19" spans="1:2" x14ac:dyDescent="0.25">
      <c r="A19" t="s">
        <v>138</v>
      </c>
      <c r="B19">
        <v>12</v>
      </c>
    </row>
    <row r="20" spans="1:2" x14ac:dyDescent="0.25">
      <c r="A20" t="s">
        <v>139</v>
      </c>
      <c r="B20">
        <f>COUNTIF(F5:F16,"PASS")</f>
        <v>0</v>
      </c>
    </row>
    <row r="21" spans="1:2" x14ac:dyDescent="0.25">
      <c r="A21" t="s">
        <v>140</v>
      </c>
      <c r="B21">
        <f>COUNTIF(F5:F16,"FAIL")</f>
        <v>0</v>
      </c>
    </row>
    <row r="22" spans="1:2" x14ac:dyDescent="0.25">
      <c r="A22" t="s">
        <v>141</v>
      </c>
      <c r="B22">
        <f>COUNTIF(F5:F16,"BLOCKED")</f>
        <v>0</v>
      </c>
    </row>
  </sheetData>
  <mergeCells count="2">
    <mergeCell ref="A1:J1"/>
    <mergeCell ref="A2:J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Summary Dashboard</vt:lpstr>
      <vt:lpstr>Auth Flow</vt:lpstr>
      <vt:lpstr>Navigation</vt:lpstr>
      <vt:lpstr>Dashboard</vt:lpstr>
      <vt:lpstr>Customers &amp; KYC</vt:lpstr>
      <vt:lpstr>Sales &amp; Orders</vt:lpstr>
      <vt:lpstr>Van Sales</vt:lpstr>
      <vt:lpstr>Field Operations</vt:lpstr>
      <vt:lpstr>Marketing</vt:lpstr>
      <vt:lpstr>Inventory</vt:lpstr>
      <vt:lpstr>Finance</vt:lpstr>
      <vt:lpstr>Admin</vt:lpstr>
      <vt:lpstr>API Integrity</vt:lpstr>
      <vt:lpstr>Mobile &amp; PWA</vt:lpstr>
      <vt:lpstr>Reports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Tendani Mamburu</cp:lastModifiedBy>
  <cp:revision>0</cp:revision>
  <dcterms:created xsi:type="dcterms:W3CDTF">2026-03-18T02:54:23Z</dcterms:created>
  <dcterms:modified xsi:type="dcterms:W3CDTF">2026-04-01T11:17:33Z</dcterms:modified>
  <dc:language>en-US</dc:language>
</cp:coreProperties>
</file>